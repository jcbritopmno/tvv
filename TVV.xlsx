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cbrito\OneDrive\PMNO\pmno-tvv\"/>
    </mc:Choice>
  </mc:AlternateContent>
  <bookViews>
    <workbookView xWindow="-105" yWindow="-105" windowWidth="23250" windowHeight="12570"/>
  </bookViews>
  <sheets>
    <sheet name="ValoresVenais" sheetId="3" r:id="rId1"/>
    <sheet name="Pontuação" sheetId="5" r:id="rId2"/>
    <sheet name="Cargos" sheetId="7" r:id="rId3"/>
    <sheet name="Site" sheetId="6" r:id="rId4"/>
    <sheet name="Cálculo" sheetId="9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" i="9" l="1"/>
  <c r="X1" i="9"/>
  <c r="Y1" i="9"/>
  <c r="Z1" i="9"/>
  <c r="AA1" i="9"/>
  <c r="AB1" i="9"/>
  <c r="AC1" i="9"/>
  <c r="AD1" i="9"/>
  <c r="AE1" i="9"/>
  <c r="AF1" i="9"/>
  <c r="AG1" i="9"/>
  <c r="AH1" i="9"/>
  <c r="AI1" i="9"/>
  <c r="AJ1" i="9"/>
  <c r="AK1" i="9"/>
  <c r="AL1" i="9"/>
  <c r="AM1" i="9"/>
  <c r="AN1" i="9"/>
  <c r="AO1" i="9"/>
  <c r="AP1" i="9"/>
  <c r="V1" i="9"/>
  <c r="A14" i="9"/>
  <c r="C13" i="9"/>
  <c r="D13" i="9"/>
  <c r="E13" i="9"/>
  <c r="B13" i="9"/>
  <c r="B10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V2" i="9"/>
  <c r="A11" i="9"/>
  <c r="C10" i="9"/>
  <c r="D10" i="9"/>
  <c r="E10" i="9"/>
  <c r="B7" i="9"/>
  <c r="M3" i="9"/>
  <c r="A8" i="9"/>
  <c r="C7" i="9"/>
  <c r="D7" i="9"/>
  <c r="E7" i="9"/>
  <c r="B4" i="9"/>
  <c r="F2" i="9"/>
  <c r="G2" i="9"/>
  <c r="H2" i="9"/>
  <c r="I2" i="9"/>
  <c r="J2" i="9"/>
  <c r="A5" i="9"/>
  <c r="C4" i="9" l="1"/>
  <c r="D4" i="9"/>
  <c r="E4" i="9"/>
  <c r="M2" i="9" l="1"/>
  <c r="P2" i="9" l="1"/>
  <c r="Q2" i="9"/>
  <c r="R2" i="9"/>
  <c r="U2" i="9"/>
  <c r="L2" i="9"/>
  <c r="T2" i="9"/>
  <c r="S2" i="9"/>
  <c r="K2" i="9"/>
  <c r="N2" i="9"/>
  <c r="O2" i="9"/>
</calcChain>
</file>

<file path=xl/sharedStrings.xml><?xml version="1.0" encoding="utf-8"?>
<sst xmlns="http://schemas.openxmlformats.org/spreadsheetml/2006/main" count="101" uniqueCount="93">
  <si>
    <t>3607/2016</t>
  </si>
  <si>
    <t>Ano</t>
  </si>
  <si>
    <t>Decreto</t>
  </si>
  <si>
    <t>2740/2011</t>
  </si>
  <si>
    <t>2829/2012</t>
  </si>
  <si>
    <t>2960/2013</t>
  </si>
  <si>
    <t>3235/2014</t>
  </si>
  <si>
    <t>3484/2015</t>
  </si>
  <si>
    <t>Setor 1</t>
  </si>
  <si>
    <t>Setor 2</t>
  </si>
  <si>
    <t>Setor 3</t>
  </si>
  <si>
    <t>Setor 4</t>
  </si>
  <si>
    <t>Setor 5</t>
  </si>
  <si>
    <t>Setor 6</t>
  </si>
  <si>
    <t>Setor 7</t>
  </si>
  <si>
    <t>Setor 8</t>
  </si>
  <si>
    <t>Setor 9</t>
  </si>
  <si>
    <t>Setor 10</t>
  </si>
  <si>
    <t>Setor 11</t>
  </si>
  <si>
    <t>Setor 12</t>
  </si>
  <si>
    <t>Setor 13</t>
  </si>
  <si>
    <t>Setor 14</t>
  </si>
  <si>
    <t>Setor 15</t>
  </si>
  <si>
    <t>Setor 16</t>
  </si>
  <si>
    <t>Setor 17</t>
  </si>
  <si>
    <t>Residencial Precária</t>
  </si>
  <si>
    <t>Residencial Simples</t>
  </si>
  <si>
    <t>Residencial Regular</t>
  </si>
  <si>
    <t>Residencial Média</t>
  </si>
  <si>
    <t>Residencial Boa</t>
  </si>
  <si>
    <t>Residencial Sofisticada</t>
  </si>
  <si>
    <t>Comercial Precária</t>
  </si>
  <si>
    <t>Comercial Simples</t>
  </si>
  <si>
    <t>Comercial Regular</t>
  </si>
  <si>
    <t>Comercial Média</t>
  </si>
  <si>
    <t>Comercial Boa</t>
  </si>
  <si>
    <t>Comercial Sofisticada</t>
  </si>
  <si>
    <t>Industrial Precária</t>
  </si>
  <si>
    <t>Industrial Simples</t>
  </si>
  <si>
    <t>Industrial Regular</t>
  </si>
  <si>
    <t>Industrial Média</t>
  </si>
  <si>
    <t>Industrial Boa</t>
  </si>
  <si>
    <t>Industrial Sofisticada</t>
  </si>
  <si>
    <t>Precária</t>
  </si>
  <si>
    <t>Simples</t>
  </si>
  <si>
    <t>Regular</t>
  </si>
  <si>
    <t>Média</t>
  </si>
  <si>
    <t>Boa</t>
  </si>
  <si>
    <t>Sofisticada</t>
  </si>
  <si>
    <t>Antes 2015</t>
  </si>
  <si>
    <t>Residencial</t>
  </si>
  <si>
    <t>Comercial/Industrial</t>
  </si>
  <si>
    <t>Setor 9A</t>
  </si>
  <si>
    <t>Setor 11A</t>
  </si>
  <si>
    <t>Setor 11B</t>
  </si>
  <si>
    <t>Limpeza</t>
  </si>
  <si>
    <t>Lixo</t>
  </si>
  <si>
    <t>1410/1999</t>
  </si>
  <si>
    <t>1492/2000</t>
  </si>
  <si>
    <t>1615/2001</t>
  </si>
  <si>
    <t>1706/2002</t>
  </si>
  <si>
    <t>1815/2003</t>
  </si>
  <si>
    <t>1943/2004</t>
  </si>
  <si>
    <t>2124/2005</t>
  </si>
  <si>
    <t>2216/2006</t>
  </si>
  <si>
    <t>2326/2007</t>
  </si>
  <si>
    <t>2434/2008</t>
  </si>
  <si>
    <t>2528/2009</t>
  </si>
  <si>
    <t>2645/2010</t>
  </si>
  <si>
    <t>3720/2017</t>
  </si>
  <si>
    <t>339/1975</t>
  </si>
  <si>
    <t>373/1976</t>
  </si>
  <si>
    <t>3949/2019</t>
  </si>
  <si>
    <t>Valores muito antigos - IGP-DI</t>
  </si>
  <si>
    <t>4149/2020</t>
  </si>
  <si>
    <t>Rural</t>
  </si>
  <si>
    <t>4357/2021</t>
  </si>
  <si>
    <t>4516/2022</t>
  </si>
  <si>
    <t>https://arquivofee.rs.gov.br/servicos/atualizacao-valores/</t>
  </si>
  <si>
    <t>Nome</t>
  </si>
  <si>
    <t>Cargo</t>
  </si>
  <si>
    <t>Cátia Sirlene de Oliveira</t>
  </si>
  <si>
    <t>Encarregada Do Setor de Tributação e Dívida Ativa</t>
  </si>
  <si>
    <t>Jhonatan Cassante de Brito</t>
  </si>
  <si>
    <t>Escriturário</t>
  </si>
  <si>
    <t>Encarregada Da Central De Atendimento</t>
  </si>
  <si>
    <t>Liliam Rodrigues de Lima</t>
  </si>
  <si>
    <t>4695/2023</t>
  </si>
  <si>
    <t>4749/2023</t>
  </si>
  <si>
    <t>%</t>
  </si>
  <si>
    <t>4829/2024</t>
  </si>
  <si>
    <t>4907/2026</t>
  </si>
  <si>
    <t>https://www3.bcb.gov.br/CALCIDADAO/publico/exibirFormCorrecaoValores.do?method=exibirFormCorrecaoValores&amp;aba=1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</si>
</sst>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%"/>
    <numFmt numFmtId="165" formatCode="_-* #,##0.0000_-;\-* #,##0.0000_-;_-* &quot;-&quot;??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0"/>
      <color theme="10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textRotation="90"/>
    </xf>
    <xf numFmtId="0" fontId="2" fillId="0" borderId="0" xfId="0" applyFont="1" applyAlignment="1">
      <alignment horizontal="left"/>
    </xf>
    <xf numFmtId="44" fontId="2" fillId="0" borderId="0" xfId="1" applyFont="1" applyAlignment="1">
      <alignment horizontal="left"/>
    </xf>
    <xf numFmtId="44" fontId="2" fillId="0" borderId="0" xfId="1" applyFont="1"/>
    <xf numFmtId="0" fontId="2" fillId="0" borderId="0" xfId="0" applyFont="1" applyAlignment="1"/>
    <xf numFmtId="0" fontId="2" fillId="0" borderId="0" xfId="0" applyFont="1" applyAlignment="1">
      <alignment textRotation="90"/>
    </xf>
    <xf numFmtId="0" fontId="2" fillId="0" borderId="1" xfId="0" applyFont="1" applyBorder="1"/>
    <xf numFmtId="0" fontId="2" fillId="0" borderId="1" xfId="0" applyFont="1" applyBorder="1" applyAlignment="1"/>
    <xf numFmtId="0" fontId="3" fillId="0" borderId="0" xfId="0" applyFont="1" applyAlignment="1"/>
    <xf numFmtId="44" fontId="3" fillId="0" borderId="0" xfId="1" applyFont="1"/>
    <xf numFmtId="0" fontId="4" fillId="0" borderId="0" xfId="0" applyFont="1" applyAlignment="1"/>
    <xf numFmtId="44" fontId="4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44" fontId="4" fillId="0" borderId="0" xfId="1" applyFont="1"/>
    <xf numFmtId="0" fontId="6" fillId="0" borderId="0" xfId="0" applyFont="1"/>
    <xf numFmtId="44" fontId="7" fillId="0" borderId="0" xfId="1" applyFont="1" applyAlignment="1">
      <alignment horizontal="left"/>
    </xf>
    <xf numFmtId="44" fontId="7" fillId="0" borderId="0" xfId="1" applyFont="1"/>
    <xf numFmtId="0" fontId="7" fillId="0" borderId="0" xfId="0" applyFont="1" applyAlignment="1">
      <alignment horizontal="left" textRotation="90"/>
    </xf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left"/>
    </xf>
    <xf numFmtId="44" fontId="8" fillId="0" borderId="0" xfId="1" applyFont="1" applyAlignment="1">
      <alignment horizontal="left"/>
    </xf>
    <xf numFmtId="0" fontId="0" fillId="0" borderId="0" xfId="0" applyAlignment="1"/>
    <xf numFmtId="0" fontId="9" fillId="0" borderId="0" xfId="0" applyFont="1" applyAlignment="1"/>
    <xf numFmtId="0" fontId="9" fillId="0" borderId="0" xfId="0" applyFont="1"/>
    <xf numFmtId="44" fontId="9" fillId="0" borderId="0" xfId="1" applyFont="1"/>
    <xf numFmtId="0" fontId="9" fillId="0" borderId="0" xfId="0" applyFont="1" applyAlignment="1">
      <alignment horizontal="left"/>
    </xf>
    <xf numFmtId="44" fontId="9" fillId="0" borderId="0" xfId="1" applyFont="1" applyAlignment="1">
      <alignment horizontal="left"/>
    </xf>
    <xf numFmtId="4" fontId="0" fillId="0" borderId="0" xfId="0" applyNumberFormat="1"/>
    <xf numFmtId="164" fontId="0" fillId="0" borderId="0" xfId="3" applyNumberFormat="1" applyFont="1"/>
    <xf numFmtId="164" fontId="0" fillId="0" borderId="0" xfId="0" applyNumberFormat="1"/>
    <xf numFmtId="0" fontId="10" fillId="0" borderId="0" xfId="0" applyFont="1" applyAlignment="1"/>
    <xf numFmtId="0" fontId="10" fillId="0" borderId="0" xfId="0" applyFont="1"/>
    <xf numFmtId="44" fontId="10" fillId="0" borderId="0" xfId="1" applyFont="1"/>
    <xf numFmtId="43" fontId="0" fillId="0" borderId="0" xfId="4" applyFont="1"/>
    <xf numFmtId="165" fontId="0" fillId="0" borderId="0" xfId="0" applyNumberFormat="1"/>
    <xf numFmtId="0" fontId="2" fillId="0" borderId="1" xfId="0" applyFont="1" applyBorder="1" applyAlignment="1">
      <alignment horizontal="center"/>
    </xf>
    <xf numFmtId="0" fontId="5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Hiperlink" xfId="2" builtinId="8"/>
    <cellStyle name="Moeda" xfId="1" builtinId="4"/>
    <cellStyle name="Normal" xfId="0" builtinId="0"/>
    <cellStyle name="Porcentagem" xfId="3" builtinId="5"/>
    <cellStyle name="Vírgula" xfId="4" builtinId="3"/>
  </cellStyles>
  <dxfs count="45"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bottom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9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4" name="Tabela4" displayName="Tabela4" ref="A1:AQ48" totalsRowShown="0" headerRowDxfId="44" dataDxfId="43">
  <autoFilter ref="A1:AQ48"/>
  <tableColumns count="43">
    <tableColumn id="1" name="Ano" dataDxfId="42"/>
    <tableColumn id="2" name="Decreto" dataDxfId="41"/>
    <tableColumn id="3" name="Setor 1" dataDxfId="40" dataCellStyle="Moeda"/>
    <tableColumn id="4" name="Setor 2" dataDxfId="39" dataCellStyle="Moeda"/>
    <tableColumn id="5" name="Setor 3" dataDxfId="38" dataCellStyle="Moeda"/>
    <tableColumn id="6" name="Setor 4" dataDxfId="37" dataCellStyle="Moeda"/>
    <tableColumn id="7" name="Setor 5" dataDxfId="36" dataCellStyle="Moeda"/>
    <tableColumn id="8" name="Setor 6" dataDxfId="35" dataCellStyle="Moeda"/>
    <tableColumn id="9" name="Setor 7" dataDxfId="34" dataCellStyle="Moeda"/>
    <tableColumn id="10" name="Setor 8" dataDxfId="33" dataCellStyle="Moeda"/>
    <tableColumn id="11" name="Setor 9" dataDxfId="32" dataCellStyle="Moeda"/>
    <tableColumn id="41" name="Setor 9A" dataDxfId="31" dataCellStyle="Moeda"/>
    <tableColumn id="12" name="Setor 10" dataDxfId="30" dataCellStyle="Moeda"/>
    <tableColumn id="13" name="Setor 11" dataDxfId="29" dataCellStyle="Moeda"/>
    <tableColumn id="43" name="Setor 11A" dataDxfId="28" dataCellStyle="Moeda"/>
    <tableColumn id="42" name="Setor 11B" dataDxfId="27" dataCellStyle="Moeda"/>
    <tableColumn id="14" name="Setor 12" dataDxfId="26" dataCellStyle="Moeda"/>
    <tableColumn id="15" name="Setor 13" dataDxfId="25" dataCellStyle="Moeda"/>
    <tableColumn id="16" name="Setor 14" dataDxfId="24" dataCellStyle="Moeda"/>
    <tableColumn id="17" name="Setor 15" dataDxfId="23" dataCellStyle="Moeda"/>
    <tableColumn id="18" name="Setor 16" dataDxfId="22" dataCellStyle="Moeda"/>
    <tableColumn id="19" name="Setor 17" dataDxfId="21" dataCellStyle="Moeda"/>
    <tableColumn id="20" name="Residencial Precária" dataDxfId="20" dataCellStyle="Moeda"/>
    <tableColumn id="21" name="Residencial Simples" dataDxfId="19" dataCellStyle="Moeda"/>
    <tableColumn id="22" name="Residencial Regular" dataDxfId="18" dataCellStyle="Moeda"/>
    <tableColumn id="23" name="Residencial Média" dataDxfId="17" dataCellStyle="Moeda"/>
    <tableColumn id="24" name="Residencial Boa" dataDxfId="16" dataCellStyle="Moeda"/>
    <tableColumn id="25" name="Residencial Sofisticada" dataDxfId="15" dataCellStyle="Moeda"/>
    <tableColumn id="26" name="Comercial Precária" dataDxfId="14" dataCellStyle="Moeda"/>
    <tableColumn id="27" name="Comercial Simples" dataDxfId="13" dataCellStyle="Moeda"/>
    <tableColumn id="28" name="Comercial Regular" dataDxfId="12" dataCellStyle="Moeda"/>
    <tableColumn id="29" name="Comercial Média" dataDxfId="11" dataCellStyle="Moeda"/>
    <tableColumn id="30" name="Comercial Boa" dataDxfId="10" dataCellStyle="Moeda"/>
    <tableColumn id="31" name="Comercial Sofisticada" dataDxfId="9" dataCellStyle="Moeda"/>
    <tableColumn id="32" name="Industrial Precária" dataDxfId="8" dataCellStyle="Moeda"/>
    <tableColumn id="33" name="Industrial Simples" dataDxfId="7" dataCellStyle="Moeda"/>
    <tableColumn id="34" name="Industrial Regular" dataDxfId="6" dataCellStyle="Moeda"/>
    <tableColumn id="35" name="Industrial Média" dataDxfId="5" dataCellStyle="Moeda"/>
    <tableColumn id="36" name="Industrial Boa" dataDxfId="4" dataCellStyle="Moeda"/>
    <tableColumn id="37" name="Industrial Sofisticada" dataDxfId="3" dataCellStyle="Moeda"/>
    <tableColumn id="38" name="Limpeza" dataDxfId="2" dataCellStyle="Moeda"/>
    <tableColumn id="39" name="Lixo" dataDxfId="1" dataCellStyle="Moeda"/>
    <tableColumn id="40" name="Rural" dataDxfId="0" dataCellStyle="Moeda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B6" totalsRowShown="0">
  <autoFilter ref="A1:B6"/>
  <sortState ref="A2:B6">
    <sortCondition ref="A1:A6"/>
  </sortState>
  <tableColumns count="2">
    <tableColumn id="1" name="Nome"/>
    <tableColumn id="2" name="Carg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3.bcb.gov.br/CALCIDADAO/publico/exibirFormCorrecaoValores.do?method=exibirFormCorrecaoValores&amp;aba=1" TargetMode="External"/><Relationship Id="rId1" Type="http://schemas.openxmlformats.org/officeDocument/2006/relationships/hyperlink" Target="https://arquivofee.rs.gov.br/servicos/atualizacao-valo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8"/>
  <sheetViews>
    <sheetView tabSelected="1" zoomScaleNormal="100" workbookViewId="0">
      <selection activeCell="C5" sqref="C5:AQ6"/>
    </sheetView>
  </sheetViews>
  <sheetFormatPr defaultColWidth="9.140625" defaultRowHeight="11.25" x14ac:dyDescent="0.2"/>
  <cols>
    <col min="1" max="1" width="4.42578125" style="6" bestFit="1" customWidth="1"/>
    <col min="2" max="2" width="8.42578125" style="1" bestFit="1" customWidth="1"/>
    <col min="3" max="8" width="11.5703125" style="1" bestFit="1" customWidth="1"/>
    <col min="9" max="11" width="10.7109375" style="1" bestFit="1" customWidth="1"/>
    <col min="12" max="12" width="7.7109375" style="1" bestFit="1" customWidth="1"/>
    <col min="13" max="14" width="10.7109375" style="1" bestFit="1" customWidth="1"/>
    <col min="15" max="16" width="7.7109375" style="1" bestFit="1" customWidth="1"/>
    <col min="17" max="18" width="10.7109375" style="1" bestFit="1" customWidth="1"/>
    <col min="19" max="22" width="7.7109375" style="1" bestFit="1" customWidth="1"/>
    <col min="23" max="34" width="11.5703125" style="1" bestFit="1" customWidth="1"/>
    <col min="35" max="35" width="10.7109375" style="1" bestFit="1" customWidth="1"/>
    <col min="36" max="40" width="11.5703125" style="1" bestFit="1" customWidth="1"/>
    <col min="41" max="41" width="9.85546875" style="1" bestFit="1" customWidth="1"/>
    <col min="42" max="42" width="10.7109375" style="1" bestFit="1" customWidth="1"/>
    <col min="43" max="43" width="9.85546875" style="1" bestFit="1" customWidth="1"/>
    <col min="44" max="16384" width="9.140625" style="1"/>
  </cols>
  <sheetData>
    <row r="1" spans="1:43" s="2" customFormat="1" ht="88.5" x14ac:dyDescent="0.25">
      <c r="A1" s="7" t="s">
        <v>1</v>
      </c>
      <c r="B1" s="2" t="s">
        <v>2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52</v>
      </c>
      <c r="M1" s="2" t="s">
        <v>17</v>
      </c>
      <c r="N1" s="2" t="s">
        <v>18</v>
      </c>
      <c r="O1" s="2" t="s">
        <v>53</v>
      </c>
      <c r="P1" s="2" t="s">
        <v>54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55</v>
      </c>
      <c r="AP1" s="2" t="s">
        <v>56</v>
      </c>
      <c r="AQ1" s="20" t="s">
        <v>75</v>
      </c>
    </row>
    <row r="2" spans="1:43" s="3" customFormat="1" x14ac:dyDescent="0.2">
      <c r="A2" s="6">
        <v>1975</v>
      </c>
      <c r="C2" s="4">
        <v>91.5</v>
      </c>
      <c r="D2" s="4">
        <v>73.209999999999994</v>
      </c>
      <c r="E2" s="4">
        <v>54.89</v>
      </c>
      <c r="F2" s="4">
        <v>43.88</v>
      </c>
      <c r="G2" s="4">
        <v>36.590000000000003</v>
      </c>
      <c r="H2" s="4">
        <v>29.28</v>
      </c>
      <c r="I2" s="4">
        <v>25.58</v>
      </c>
      <c r="J2" s="4">
        <v>21.93</v>
      </c>
      <c r="K2" s="4">
        <v>18.27</v>
      </c>
      <c r="L2" s="4">
        <v>0</v>
      </c>
      <c r="M2" s="4">
        <v>14.57</v>
      </c>
      <c r="N2" s="4">
        <v>12.44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/>
      <c r="AP2" s="4"/>
      <c r="AQ2" s="18"/>
    </row>
    <row r="3" spans="1:43" s="3" customFormat="1" x14ac:dyDescent="0.2">
      <c r="A3" s="12">
        <v>1976</v>
      </c>
      <c r="B3" s="3" t="s">
        <v>70</v>
      </c>
      <c r="C3" s="13">
        <v>109.8</v>
      </c>
      <c r="D3" s="13">
        <v>87.85199999999999</v>
      </c>
      <c r="E3" s="13">
        <v>65.867999999999995</v>
      </c>
      <c r="F3" s="13">
        <v>52.656000000000006</v>
      </c>
      <c r="G3" s="13">
        <v>43.908000000000001</v>
      </c>
      <c r="H3" s="13">
        <v>35.136000000000003</v>
      </c>
      <c r="I3" s="13">
        <v>30.695999999999998</v>
      </c>
      <c r="J3" s="13">
        <v>26.315999999999999</v>
      </c>
      <c r="K3" s="13">
        <v>21.923999999999999</v>
      </c>
      <c r="L3" s="13">
        <v>0</v>
      </c>
      <c r="M3" s="13">
        <v>17.484000000000002</v>
      </c>
      <c r="N3" s="13">
        <v>14.927999999999999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/>
      <c r="AP3" s="13"/>
      <c r="AQ3" s="18"/>
    </row>
    <row r="4" spans="1:43" s="3" customFormat="1" x14ac:dyDescent="0.2">
      <c r="A4" s="12">
        <v>1977</v>
      </c>
      <c r="B4" s="3" t="s">
        <v>71</v>
      </c>
      <c r="C4" s="13">
        <v>136.15199999999999</v>
      </c>
      <c r="D4" s="13">
        <v>108.93648</v>
      </c>
      <c r="E4" s="13">
        <v>81.67631999999999</v>
      </c>
      <c r="F4" s="13">
        <v>65.293440000000004</v>
      </c>
      <c r="G4" s="13">
        <v>54.445920000000001</v>
      </c>
      <c r="H4" s="13">
        <v>43.568640000000002</v>
      </c>
      <c r="I4" s="13">
        <v>38.063040000000001</v>
      </c>
      <c r="J4" s="13">
        <v>32.631839999999997</v>
      </c>
      <c r="K4" s="13">
        <v>27.185759999999998</v>
      </c>
      <c r="L4" s="13">
        <v>0</v>
      </c>
      <c r="M4" s="13">
        <v>21.680160000000001</v>
      </c>
      <c r="N4" s="13">
        <v>18.510719999999999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62.922232040193691</v>
      </c>
      <c r="X4" s="13">
        <v>139.82219560746478</v>
      </c>
      <c r="Y4" s="13">
        <v>0</v>
      </c>
      <c r="Z4" s="13">
        <v>251.67895475262128</v>
      </c>
      <c r="AA4" s="13">
        <v>349.54800896254693</v>
      </c>
      <c r="AB4" s="13">
        <v>489.37519127408848</v>
      </c>
      <c r="AC4" s="13">
        <v>0</v>
      </c>
      <c r="AD4" s="13">
        <v>104.86540002957942</v>
      </c>
      <c r="AE4" s="13">
        <v>0</v>
      </c>
      <c r="AF4" s="13">
        <v>230.6998907018133</v>
      </c>
      <c r="AG4" s="13">
        <v>321.57758579616183</v>
      </c>
      <c r="AH4" s="13">
        <v>0</v>
      </c>
      <c r="AI4" s="13">
        <v>0</v>
      </c>
      <c r="AJ4" s="13">
        <v>94.373374652137059</v>
      </c>
      <c r="AK4" s="13">
        <v>0</v>
      </c>
      <c r="AL4" s="13">
        <v>202.734454239505</v>
      </c>
      <c r="AM4" s="13">
        <v>265.6566862796987</v>
      </c>
      <c r="AN4" s="13">
        <v>0</v>
      </c>
      <c r="AO4" s="13">
        <v>1.236702611029326</v>
      </c>
      <c r="AP4" s="13">
        <v>55.796231914544869</v>
      </c>
      <c r="AQ4" s="18">
        <v>1.2965430599500998</v>
      </c>
    </row>
    <row r="5" spans="1:43" s="3" customFormat="1" x14ac:dyDescent="0.2">
      <c r="A5" s="6">
        <v>1982</v>
      </c>
      <c r="C5" s="4">
        <v>2057.1799999999998</v>
      </c>
      <c r="D5" s="4">
        <v>1646.04</v>
      </c>
      <c r="E5" s="4">
        <v>1234.1600000000001</v>
      </c>
      <c r="F5" s="4">
        <v>986.51</v>
      </c>
      <c r="G5" s="4">
        <v>877.10705670590517</v>
      </c>
      <c r="H5" s="4">
        <v>701.87741515028426</v>
      </c>
      <c r="I5" s="4">
        <v>613.18388932869777</v>
      </c>
      <c r="J5" s="4">
        <v>525.68892466686248</v>
      </c>
      <c r="K5" s="4">
        <v>437.95424777307699</v>
      </c>
      <c r="L5" s="4">
        <v>0</v>
      </c>
      <c r="M5" s="4">
        <v>349.2607219514905</v>
      </c>
      <c r="N5" s="4">
        <v>298.2020165460907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950.73560804076317</v>
      </c>
      <c r="X5" s="4">
        <v>2112.6704480785352</v>
      </c>
      <c r="Y5" s="4">
        <v>0</v>
      </c>
      <c r="Z5" s="4">
        <v>3802.7917370278424</v>
      </c>
      <c r="AA5" s="4">
        <v>5281.5630988449311</v>
      </c>
      <c r="AB5" s="4">
        <v>7394.3088944910714</v>
      </c>
      <c r="AC5" s="4">
        <v>0</v>
      </c>
      <c r="AD5" s="4">
        <v>1584.4839991670003</v>
      </c>
      <c r="AE5" s="4">
        <v>0</v>
      </c>
      <c r="AF5" s="4">
        <v>3485.8045201133159</v>
      </c>
      <c r="AG5" s="4">
        <v>4858.9385921480971</v>
      </c>
      <c r="AH5" s="4">
        <v>0</v>
      </c>
      <c r="AI5" s="4">
        <v>0</v>
      </c>
      <c r="AJ5" s="4">
        <v>1425.9527169259345</v>
      </c>
      <c r="AK5" s="4">
        <v>0</v>
      </c>
      <c r="AL5" s="4">
        <v>3063.2553609840879</v>
      </c>
      <c r="AM5" s="4">
        <v>4013.9909690248514</v>
      </c>
      <c r="AN5" s="4">
        <v>0</v>
      </c>
      <c r="AO5" s="4">
        <v>18.686196766057162</v>
      </c>
      <c r="AP5" s="4">
        <v>843.0639339331193</v>
      </c>
      <c r="AQ5" s="18">
        <v>19.590367577317991</v>
      </c>
    </row>
    <row r="6" spans="1:43" s="3" customFormat="1" x14ac:dyDescent="0.2">
      <c r="A6" s="12">
        <v>1983</v>
      </c>
      <c r="B6" s="14"/>
      <c r="C6" s="13">
        <v>8855.34</v>
      </c>
      <c r="D6" s="13">
        <v>7085.03</v>
      </c>
      <c r="E6" s="13">
        <v>5312.2</v>
      </c>
      <c r="F6" s="13">
        <v>4246.62</v>
      </c>
      <c r="G6" s="13">
        <v>3540.94</v>
      </c>
      <c r="H6" s="13">
        <v>2833.7</v>
      </c>
      <c r="I6" s="13">
        <v>2475.36</v>
      </c>
      <c r="J6" s="13">
        <v>2122.0500000000002</v>
      </c>
      <c r="K6" s="13">
        <v>1768.43</v>
      </c>
      <c r="L6" s="13">
        <v>0</v>
      </c>
      <c r="M6" s="13">
        <v>1684.9016954520282</v>
      </c>
      <c r="N6" s="13">
        <v>1581.8039284229085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4092.413781176841</v>
      </c>
      <c r="X6" s="13">
        <v>9093.928515645699</v>
      </c>
      <c r="Y6" s="13">
        <v>0</v>
      </c>
      <c r="Z6" s="13">
        <v>16369.006461879471</v>
      </c>
      <c r="AA6" s="13">
        <v>22734.334791993333</v>
      </c>
      <c r="AB6" s="13">
        <v>31828.587639052981</v>
      </c>
      <c r="AC6" s="13">
        <v>0</v>
      </c>
      <c r="AD6" s="13">
        <v>6820.3653038807888</v>
      </c>
      <c r="AE6" s="13">
        <v>0</v>
      </c>
      <c r="AF6" s="13">
        <v>15004.544203406576</v>
      </c>
      <c r="AG6" s="13">
        <v>20915.159891167455</v>
      </c>
      <c r="AH6" s="13">
        <v>0</v>
      </c>
      <c r="AI6" s="13">
        <v>0</v>
      </c>
      <c r="AJ6" s="13">
        <v>6137.9720089373686</v>
      </c>
      <c r="AK6" s="13">
        <v>0</v>
      </c>
      <c r="AL6" s="13">
        <v>13185.693633994648</v>
      </c>
      <c r="AM6" s="13">
        <v>17278.107415171489</v>
      </c>
      <c r="AN6" s="13">
        <v>0</v>
      </c>
      <c r="AO6" s="13">
        <v>80.434190658730117</v>
      </c>
      <c r="AP6" s="13">
        <v>3628.9441906473035</v>
      </c>
      <c r="AQ6" s="18">
        <v>84.326167626088022</v>
      </c>
    </row>
    <row r="7" spans="1:43" s="3" customFormat="1" x14ac:dyDescent="0.2">
      <c r="A7" s="26">
        <v>1984</v>
      </c>
      <c r="B7" s="29"/>
      <c r="C7" s="30">
        <v>23363.5</v>
      </c>
      <c r="D7" s="30">
        <v>18690.8</v>
      </c>
      <c r="E7" s="30">
        <v>14018.1</v>
      </c>
      <c r="F7" s="30">
        <v>11214.48</v>
      </c>
      <c r="G7" s="30">
        <v>9345.4</v>
      </c>
      <c r="H7" s="30">
        <v>7476.32</v>
      </c>
      <c r="I7" s="30">
        <v>6541.78</v>
      </c>
      <c r="J7" s="30">
        <v>5607.24</v>
      </c>
      <c r="K7" s="30">
        <v>4672.7</v>
      </c>
      <c r="L7" s="30">
        <v>0</v>
      </c>
      <c r="M7" s="30">
        <v>3738.16</v>
      </c>
      <c r="N7" s="30">
        <v>2803.62</v>
      </c>
      <c r="O7" s="30">
        <v>0</v>
      </c>
      <c r="P7" s="30">
        <v>0</v>
      </c>
      <c r="Q7" s="30">
        <v>1869.08</v>
      </c>
      <c r="R7" s="30">
        <v>934.54</v>
      </c>
      <c r="S7" s="30">
        <v>0</v>
      </c>
      <c r="T7" s="30">
        <v>0</v>
      </c>
      <c r="U7" s="30">
        <v>0</v>
      </c>
      <c r="V7" s="30">
        <v>0</v>
      </c>
      <c r="W7" s="30">
        <v>7225.86</v>
      </c>
      <c r="X7" s="30">
        <v>15277.86</v>
      </c>
      <c r="Y7" s="30">
        <v>24055.06</v>
      </c>
      <c r="Z7" s="30">
        <v>33531.300000000003</v>
      </c>
      <c r="AA7" s="30">
        <v>43269.21</v>
      </c>
      <c r="AB7" s="30">
        <v>57586.36</v>
      </c>
      <c r="AC7" s="30">
        <v>9476.24</v>
      </c>
      <c r="AD7" s="30">
        <v>14335.85</v>
      </c>
      <c r="AE7" s="30">
        <v>28671.69</v>
      </c>
      <c r="AF7" s="30">
        <v>38390.910000000003</v>
      </c>
      <c r="AG7" s="30">
        <v>52969.73</v>
      </c>
      <c r="AH7" s="30">
        <v>62445.97</v>
      </c>
      <c r="AI7" s="30">
        <v>7225.86</v>
      </c>
      <c r="AJ7" s="30">
        <v>15277.86</v>
      </c>
      <c r="AK7" s="30">
        <v>24055.06</v>
      </c>
      <c r="AL7" s="30">
        <v>33531.300000000003</v>
      </c>
      <c r="AM7" s="30">
        <v>43269.21</v>
      </c>
      <c r="AN7" s="30">
        <v>57586.36</v>
      </c>
      <c r="AO7" s="30">
        <v>206.02</v>
      </c>
      <c r="AP7" s="30">
        <v>9285.49</v>
      </c>
      <c r="AQ7" s="30">
        <v>215.74</v>
      </c>
    </row>
    <row r="8" spans="1:43" s="3" customFormat="1" x14ac:dyDescent="0.2">
      <c r="A8" s="12">
        <v>1986</v>
      </c>
      <c r="B8" s="14"/>
      <c r="C8" s="13">
        <v>153783.94</v>
      </c>
      <c r="D8" s="13">
        <v>123027.15</v>
      </c>
      <c r="E8" s="13">
        <v>92270.36</v>
      </c>
      <c r="F8" s="13">
        <v>73816.289999999994</v>
      </c>
      <c r="G8" s="13">
        <v>61513.58</v>
      </c>
      <c r="H8" s="13">
        <v>49210.86</v>
      </c>
      <c r="I8" s="13">
        <v>43059.5</v>
      </c>
      <c r="J8" s="13">
        <v>36908.15</v>
      </c>
      <c r="K8" s="13">
        <v>30756.79</v>
      </c>
      <c r="L8" s="13">
        <v>0</v>
      </c>
      <c r="M8" s="13">
        <v>24605.43</v>
      </c>
      <c r="N8" s="13">
        <v>18454.07</v>
      </c>
      <c r="O8" s="13">
        <v>0</v>
      </c>
      <c r="P8" s="13">
        <v>0</v>
      </c>
      <c r="Q8" s="13">
        <v>12302.72</v>
      </c>
      <c r="R8" s="13">
        <v>6151.36</v>
      </c>
      <c r="S8" s="13">
        <v>0</v>
      </c>
      <c r="T8" s="13">
        <v>0</v>
      </c>
      <c r="U8" s="13">
        <v>0</v>
      </c>
      <c r="V8" s="13">
        <v>0</v>
      </c>
      <c r="W8" s="13">
        <v>47562.3</v>
      </c>
      <c r="X8" s="13">
        <v>100562.39</v>
      </c>
      <c r="Y8" s="13">
        <v>158335.94</v>
      </c>
      <c r="Z8" s="13">
        <v>220710.71</v>
      </c>
      <c r="AA8" s="13">
        <v>284807.86</v>
      </c>
      <c r="AB8" s="13">
        <v>379046.65</v>
      </c>
      <c r="AC8" s="13">
        <v>62374.77</v>
      </c>
      <c r="AD8" s="13">
        <v>94361.83</v>
      </c>
      <c r="AE8" s="13">
        <v>188723.65</v>
      </c>
      <c r="AF8" s="13">
        <v>252697.77</v>
      </c>
      <c r="AG8" s="13">
        <v>348658.95</v>
      </c>
      <c r="AH8" s="13">
        <v>411033.71</v>
      </c>
      <c r="AI8" s="13">
        <v>47562.3</v>
      </c>
      <c r="AJ8" s="13">
        <v>100562.39</v>
      </c>
      <c r="AK8" s="13">
        <v>158335.94</v>
      </c>
      <c r="AL8" s="13">
        <v>220710.71</v>
      </c>
      <c r="AM8" s="13">
        <v>284807.86</v>
      </c>
      <c r="AN8" s="13">
        <v>379046.65</v>
      </c>
      <c r="AO8" s="13">
        <v>1356.05</v>
      </c>
      <c r="AP8" s="13">
        <v>61119.199999999997</v>
      </c>
      <c r="AQ8" s="18">
        <v>1420.06</v>
      </c>
    </row>
    <row r="9" spans="1:43" s="3" customFormat="1" x14ac:dyDescent="0.2">
      <c r="A9" s="6">
        <v>1987</v>
      </c>
      <c r="C9" s="4">
        <v>453.19</v>
      </c>
      <c r="D9" s="4">
        <v>362.59</v>
      </c>
      <c r="E9" s="4">
        <v>271.86</v>
      </c>
      <c r="F9" s="4">
        <v>217.33</v>
      </c>
      <c r="G9" s="4">
        <v>181.22</v>
      </c>
      <c r="H9" s="4">
        <v>145.02000000000001</v>
      </c>
      <c r="I9" s="4">
        <v>126.68</v>
      </c>
      <c r="J9" s="4">
        <v>108.6</v>
      </c>
      <c r="K9" s="4">
        <v>90.5</v>
      </c>
      <c r="L9" s="4">
        <v>0</v>
      </c>
      <c r="M9" s="4">
        <v>135.51933712758125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329.15938322922432</v>
      </c>
      <c r="X9" s="4">
        <v>731.43920957078933</v>
      </c>
      <c r="Y9" s="4">
        <v>0</v>
      </c>
      <c r="Z9" s="4">
        <v>1316.5853599285902</v>
      </c>
      <c r="AA9" s="4">
        <v>1828.5588941857432</v>
      </c>
      <c r="AB9" s="4">
        <v>2560.0241902506859</v>
      </c>
      <c r="AC9" s="4">
        <v>0</v>
      </c>
      <c r="AD9" s="4">
        <v>548.57288555455364</v>
      </c>
      <c r="AE9" s="4">
        <v>0</v>
      </c>
      <c r="AF9" s="4">
        <v>1206.8394790246953</v>
      </c>
      <c r="AG9" s="4">
        <v>1682.2397484786011</v>
      </c>
      <c r="AH9" s="4">
        <v>0</v>
      </c>
      <c r="AI9" s="4">
        <v>0</v>
      </c>
      <c r="AJ9" s="4">
        <v>493.68690185552941</v>
      </c>
      <c r="AK9" s="4">
        <v>0</v>
      </c>
      <c r="AL9" s="4">
        <v>1060.5464198117068</v>
      </c>
      <c r="AM9" s="4">
        <v>1389.705803040931</v>
      </c>
      <c r="AN9" s="4">
        <v>0</v>
      </c>
      <c r="AO9" s="4">
        <v>6.4694505500751012</v>
      </c>
      <c r="AP9" s="4">
        <v>291.88178308383186</v>
      </c>
      <c r="AQ9" s="4">
        <v>6.7824884799174452</v>
      </c>
    </row>
    <row r="10" spans="1:43" s="3" customFormat="1" x14ac:dyDescent="0.2">
      <c r="A10" s="22">
        <v>1988</v>
      </c>
      <c r="B10" s="23"/>
      <c r="C10" s="24">
        <v>2100.15</v>
      </c>
      <c r="D10" s="24">
        <v>1680.3</v>
      </c>
      <c r="E10" s="24">
        <v>1259.8499999999999</v>
      </c>
      <c r="F10" s="24">
        <v>1007.13</v>
      </c>
      <c r="G10" s="24">
        <v>839.78</v>
      </c>
      <c r="H10" s="24">
        <v>672.04</v>
      </c>
      <c r="I10" s="24">
        <v>587.05999999999995</v>
      </c>
      <c r="J10" s="24">
        <v>503.27</v>
      </c>
      <c r="K10" s="24">
        <v>419.4</v>
      </c>
      <c r="L10" s="24">
        <v>0</v>
      </c>
      <c r="M10" s="24">
        <v>335.8</v>
      </c>
      <c r="N10" s="24">
        <v>251.85</v>
      </c>
      <c r="O10" s="24">
        <v>0</v>
      </c>
      <c r="P10" s="24">
        <v>0</v>
      </c>
      <c r="Q10" s="24">
        <v>167.9</v>
      </c>
      <c r="R10" s="24">
        <v>83.95</v>
      </c>
      <c r="S10" s="24">
        <v>0</v>
      </c>
      <c r="T10" s="24">
        <v>0</v>
      </c>
      <c r="U10" s="24">
        <v>0</v>
      </c>
      <c r="V10" s="24">
        <v>0</v>
      </c>
      <c r="W10" s="24">
        <v>649.1</v>
      </c>
      <c r="X10" s="24">
        <v>1372.41</v>
      </c>
      <c r="Y10" s="24">
        <v>2160.86</v>
      </c>
      <c r="Z10" s="24">
        <v>3012.11</v>
      </c>
      <c r="AA10" s="24">
        <v>3886.86</v>
      </c>
      <c r="AB10" s="24">
        <v>5172.97</v>
      </c>
      <c r="AC10" s="24">
        <v>851.25</v>
      </c>
      <c r="AD10" s="24">
        <v>1287.79</v>
      </c>
      <c r="AE10" s="24">
        <v>2575.5700000000002</v>
      </c>
      <c r="AF10" s="24">
        <v>3448.65</v>
      </c>
      <c r="AG10" s="24">
        <v>4758.26</v>
      </c>
      <c r="AH10" s="24">
        <v>5609.51</v>
      </c>
      <c r="AI10" s="24">
        <v>649.1</v>
      </c>
      <c r="AJ10" s="24">
        <v>1372.41</v>
      </c>
      <c r="AK10" s="24">
        <v>2160.86</v>
      </c>
      <c r="AL10" s="24">
        <v>3012.11</v>
      </c>
      <c r="AM10" s="24">
        <v>3886.86</v>
      </c>
      <c r="AN10" s="24">
        <v>5172.97</v>
      </c>
      <c r="AO10" s="24">
        <v>18.510000000000002</v>
      </c>
      <c r="AP10" s="24">
        <v>834.11</v>
      </c>
      <c r="AQ10" s="24">
        <v>19.38</v>
      </c>
    </row>
    <row r="11" spans="1:43" s="3" customFormat="1" x14ac:dyDescent="0.2">
      <c r="A11" s="6">
        <v>1989</v>
      </c>
      <c r="C11" s="4">
        <v>1351</v>
      </c>
      <c r="D11" s="4">
        <v>1049</v>
      </c>
      <c r="E11" s="4">
        <v>755</v>
      </c>
      <c r="F11" s="4">
        <v>604</v>
      </c>
      <c r="G11" s="4">
        <v>453</v>
      </c>
      <c r="H11" s="4">
        <v>373</v>
      </c>
      <c r="I11" s="4">
        <v>302</v>
      </c>
      <c r="J11" s="4">
        <v>222</v>
      </c>
      <c r="K11" s="4">
        <v>177</v>
      </c>
      <c r="L11" s="4">
        <v>0</v>
      </c>
      <c r="M11" s="4">
        <v>151</v>
      </c>
      <c r="N11" s="4">
        <v>133</v>
      </c>
      <c r="O11" s="4">
        <v>0</v>
      </c>
      <c r="P11" s="4">
        <v>0</v>
      </c>
      <c r="Q11" s="4">
        <v>106</v>
      </c>
      <c r="R11" s="4">
        <v>71</v>
      </c>
      <c r="S11" s="4">
        <v>0</v>
      </c>
      <c r="T11" s="4">
        <v>0</v>
      </c>
      <c r="U11" s="4">
        <v>0</v>
      </c>
      <c r="V11" s="4">
        <v>0</v>
      </c>
      <c r="W11" s="4">
        <v>1511</v>
      </c>
      <c r="X11" s="4">
        <v>2107</v>
      </c>
      <c r="Y11" s="4">
        <v>3014</v>
      </c>
      <c r="Z11" s="4">
        <v>4524</v>
      </c>
      <c r="AA11" s="4">
        <v>6037</v>
      </c>
      <c r="AB11" s="4">
        <v>8296</v>
      </c>
      <c r="AC11" s="4">
        <v>1813</v>
      </c>
      <c r="AD11" s="4">
        <v>2258</v>
      </c>
      <c r="AE11" s="4">
        <v>3770</v>
      </c>
      <c r="AF11" s="4">
        <v>5281</v>
      </c>
      <c r="AG11" s="4">
        <v>6793</v>
      </c>
      <c r="AH11" s="4">
        <v>9051</v>
      </c>
      <c r="AI11" s="4">
        <v>1613</v>
      </c>
      <c r="AJ11" s="4">
        <v>1813</v>
      </c>
      <c r="AK11" s="4">
        <v>2712</v>
      </c>
      <c r="AL11" s="4">
        <v>4223</v>
      </c>
      <c r="AM11" s="4">
        <v>4525</v>
      </c>
      <c r="AN11" s="4">
        <v>6037</v>
      </c>
      <c r="AO11" s="4"/>
      <c r="AP11" s="4"/>
      <c r="AQ11" s="18"/>
    </row>
    <row r="12" spans="1:43" s="3" customFormat="1" x14ac:dyDescent="0.2">
      <c r="A12" s="6">
        <v>1990</v>
      </c>
      <c r="C12" s="4"/>
      <c r="D12" s="4"/>
      <c r="E12" s="4"/>
      <c r="F12" s="4"/>
      <c r="G12" s="4"/>
      <c r="H12" s="4"/>
      <c r="I12" s="4"/>
      <c r="J12" s="4">
        <v>111.17</v>
      </c>
      <c r="K12" s="4"/>
      <c r="L12" s="4">
        <v>0</v>
      </c>
      <c r="M12" s="4"/>
      <c r="N12" s="4"/>
      <c r="O12" s="4">
        <v>0</v>
      </c>
      <c r="P12" s="4">
        <v>0</v>
      </c>
      <c r="Q12" s="4"/>
      <c r="R12" s="4"/>
      <c r="S12" s="4">
        <v>0</v>
      </c>
      <c r="T12" s="4">
        <v>0</v>
      </c>
      <c r="U12" s="4">
        <v>0</v>
      </c>
      <c r="V12" s="4">
        <v>0</v>
      </c>
      <c r="W12" s="4"/>
      <c r="X12" s="4">
        <v>461.74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18"/>
    </row>
    <row r="13" spans="1:43" s="3" customFormat="1" x14ac:dyDescent="0.2">
      <c r="A13" s="6">
        <v>1991</v>
      </c>
      <c r="C13" s="4">
        <v>4524.09</v>
      </c>
      <c r="D13" s="4">
        <v>3619.65</v>
      </c>
      <c r="E13" s="4">
        <v>2713.94</v>
      </c>
      <c r="F13" s="4">
        <v>2169.54</v>
      </c>
      <c r="G13" s="4">
        <v>1809.02</v>
      </c>
      <c r="H13" s="4">
        <v>1447.7</v>
      </c>
      <c r="I13" s="4">
        <v>1264.6300000000001</v>
      </c>
      <c r="J13" s="4">
        <v>1084.1300000000001</v>
      </c>
      <c r="K13" s="4">
        <v>903.47</v>
      </c>
      <c r="L13" s="4">
        <v>0</v>
      </c>
      <c r="M13" s="4">
        <v>834.25</v>
      </c>
      <c r="N13" s="4">
        <v>604.96245813883706</v>
      </c>
      <c r="O13" s="4">
        <v>0</v>
      </c>
      <c r="P13" s="4">
        <v>0</v>
      </c>
      <c r="Q13" s="4">
        <v>403.30830542589138</v>
      </c>
      <c r="R13" s="4">
        <v>201.65415271294569</v>
      </c>
      <c r="S13" s="4">
        <v>0</v>
      </c>
      <c r="T13" s="4">
        <v>0</v>
      </c>
      <c r="U13" s="4">
        <v>0</v>
      </c>
      <c r="V13" s="4">
        <v>0</v>
      </c>
      <c r="W13" s="4">
        <v>2026.3</v>
      </c>
      <c r="X13" s="4">
        <v>4502.7299999999996</v>
      </c>
      <c r="Y13" s="4">
        <v>5190.5778908312213</v>
      </c>
      <c r="Z13" s="4">
        <v>8104.88</v>
      </c>
      <c r="AA13" s="4">
        <v>11256.58</v>
      </c>
      <c r="AB13" s="4">
        <v>15759.47</v>
      </c>
      <c r="AC13" s="4">
        <v>2044.7731085092692</v>
      </c>
      <c r="AD13" s="4">
        <v>3377.01</v>
      </c>
      <c r="AE13" s="4">
        <v>6186.7494052331731</v>
      </c>
      <c r="AF13" s="4">
        <v>7429.28</v>
      </c>
      <c r="AG13" s="4">
        <v>10355.84</v>
      </c>
      <c r="AH13" s="4">
        <v>13474.53048427903</v>
      </c>
      <c r="AI13" s="4">
        <v>1559.1899087764959</v>
      </c>
      <c r="AJ13" s="4">
        <v>3039.13</v>
      </c>
      <c r="AK13" s="4">
        <v>5190.5778908312213</v>
      </c>
      <c r="AL13" s="4">
        <v>6528.71</v>
      </c>
      <c r="AM13" s="4">
        <v>8555.01</v>
      </c>
      <c r="AN13" s="4">
        <v>12425.928890171712</v>
      </c>
      <c r="AO13" s="4">
        <v>39.83</v>
      </c>
      <c r="AP13" s="4">
        <v>1796.82</v>
      </c>
      <c r="AQ13" s="18">
        <v>41.75</v>
      </c>
    </row>
    <row r="14" spans="1:43" s="3" customFormat="1" x14ac:dyDescent="0.2">
      <c r="A14" s="6">
        <v>1992</v>
      </c>
      <c r="C14" s="4">
        <v>45725.39</v>
      </c>
      <c r="D14" s="4">
        <v>36583.199999999997</v>
      </c>
      <c r="E14" s="4">
        <v>27430.19</v>
      </c>
      <c r="F14" s="4">
        <v>21927.23</v>
      </c>
      <c r="G14" s="4">
        <v>18284.400000000001</v>
      </c>
      <c r="H14" s="4">
        <v>14632.56</v>
      </c>
      <c r="I14" s="4">
        <v>12781.43</v>
      </c>
      <c r="J14" s="4">
        <v>10957.31</v>
      </c>
      <c r="K14" s="4">
        <v>9131.39</v>
      </c>
      <c r="L14" s="4">
        <v>0</v>
      </c>
      <c r="M14" s="4">
        <v>7278.46</v>
      </c>
      <c r="N14" s="4">
        <v>7118.2</v>
      </c>
      <c r="O14" s="4">
        <v>0</v>
      </c>
      <c r="P14" s="4">
        <v>0</v>
      </c>
      <c r="Q14" s="4">
        <v>4029.7908005637801</v>
      </c>
      <c r="R14" s="4">
        <v>2014.89540028189</v>
      </c>
      <c r="S14" s="4">
        <v>0</v>
      </c>
      <c r="T14" s="4">
        <v>0</v>
      </c>
      <c r="U14" s="4">
        <v>0</v>
      </c>
      <c r="V14" s="4">
        <v>0</v>
      </c>
      <c r="W14" s="4">
        <v>20479.46</v>
      </c>
      <c r="X14" s="4">
        <v>45509.31</v>
      </c>
      <c r="Y14" s="4">
        <v>51863.407603255844</v>
      </c>
      <c r="Z14" s="4">
        <v>80982.638899993806</v>
      </c>
      <c r="AA14" s="4">
        <v>112473.91119780825</v>
      </c>
      <c r="AB14" s="4">
        <v>157466.05357084685</v>
      </c>
      <c r="AC14" s="4">
        <v>20431.039358858365</v>
      </c>
      <c r="AD14" s="4">
        <v>33742.533065470197</v>
      </c>
      <c r="AE14" s="4">
        <v>61816.99088064838</v>
      </c>
      <c r="AF14" s="4">
        <v>74232.153903197323</v>
      </c>
      <c r="AG14" s="4">
        <v>103473.86404562581</v>
      </c>
      <c r="AH14" s="4">
        <v>134635.31064683589</v>
      </c>
      <c r="AI14" s="4">
        <v>15579.171234979573</v>
      </c>
      <c r="AJ14" s="4">
        <v>30366.491220121479</v>
      </c>
      <c r="AK14" s="4">
        <v>51863.407603255844</v>
      </c>
      <c r="AL14" s="4">
        <v>65233.80536328465</v>
      </c>
      <c r="AM14" s="4">
        <v>85480.264435233577</v>
      </c>
      <c r="AN14" s="4">
        <v>124157.85456537006</v>
      </c>
      <c r="AO14" s="4">
        <v>397.97486296980992</v>
      </c>
      <c r="AP14" s="4">
        <v>17953.532344499468</v>
      </c>
      <c r="AQ14" s="18">
        <v>417.15918978130969</v>
      </c>
    </row>
    <row r="15" spans="1:43" s="3" customFormat="1" x14ac:dyDescent="0.2">
      <c r="A15" s="6">
        <v>1993</v>
      </c>
      <c r="C15" s="4">
        <v>275000</v>
      </c>
      <c r="D15" s="4">
        <v>220000</v>
      </c>
      <c r="E15" s="4">
        <v>165000</v>
      </c>
      <c r="F15" s="4">
        <v>132000</v>
      </c>
      <c r="G15" s="4">
        <v>110000</v>
      </c>
      <c r="H15" s="4">
        <v>88000</v>
      </c>
      <c r="I15" s="4">
        <v>77000</v>
      </c>
      <c r="J15" s="4">
        <v>66000</v>
      </c>
      <c r="K15" s="4">
        <v>55000</v>
      </c>
      <c r="L15" s="4">
        <v>0</v>
      </c>
      <c r="M15" s="4">
        <v>44000</v>
      </c>
      <c r="N15" s="4">
        <v>33000</v>
      </c>
      <c r="O15" s="4">
        <v>0</v>
      </c>
      <c r="P15" s="4">
        <v>0</v>
      </c>
      <c r="Q15" s="4">
        <v>22000</v>
      </c>
      <c r="R15" s="4">
        <v>11000</v>
      </c>
      <c r="S15" s="4">
        <v>0</v>
      </c>
      <c r="T15" s="4">
        <v>0</v>
      </c>
      <c r="U15" s="4">
        <v>0</v>
      </c>
      <c r="V15" s="4">
        <v>0</v>
      </c>
      <c r="W15" s="4">
        <v>85052</v>
      </c>
      <c r="X15" s="4">
        <v>179828</v>
      </c>
      <c r="Y15" s="4">
        <v>283140</v>
      </c>
      <c r="Z15" s="4">
        <v>394680</v>
      </c>
      <c r="AA15" s="4">
        <v>509300</v>
      </c>
      <c r="AB15" s="4">
        <v>677820</v>
      </c>
      <c r="AC15" s="4">
        <v>111540</v>
      </c>
      <c r="AD15" s="4">
        <v>168740</v>
      </c>
      <c r="AE15" s="4">
        <v>337480</v>
      </c>
      <c r="AF15" s="4">
        <v>451880</v>
      </c>
      <c r="AG15" s="4">
        <v>623480</v>
      </c>
      <c r="AH15" s="4">
        <v>735020</v>
      </c>
      <c r="AI15" s="4">
        <v>85052</v>
      </c>
      <c r="AJ15" s="4">
        <v>179828</v>
      </c>
      <c r="AK15" s="4">
        <v>283140</v>
      </c>
      <c r="AL15" s="4">
        <v>394680</v>
      </c>
      <c r="AM15" s="4">
        <v>509300</v>
      </c>
      <c r="AN15" s="4">
        <v>677820</v>
      </c>
      <c r="AO15" s="4">
        <v>2172.6802751425471</v>
      </c>
      <c r="AP15" s="4">
        <v>98014.445693739166</v>
      </c>
      <c r="AQ15" s="18">
        <v>2277.4140468792702</v>
      </c>
    </row>
    <row r="16" spans="1:43" s="3" customFormat="1" x14ac:dyDescent="0.2">
      <c r="A16" s="6">
        <v>1994</v>
      </c>
      <c r="C16" s="4">
        <v>8087</v>
      </c>
      <c r="D16" s="4">
        <v>6470</v>
      </c>
      <c r="E16" s="4">
        <v>4852</v>
      </c>
      <c r="F16" s="4">
        <v>3880</v>
      </c>
      <c r="G16" s="4">
        <v>3235</v>
      </c>
      <c r="H16" s="4">
        <v>2588</v>
      </c>
      <c r="I16" s="4">
        <v>2260</v>
      </c>
      <c r="J16" s="4">
        <v>1940</v>
      </c>
      <c r="K16" s="4">
        <v>1617</v>
      </c>
      <c r="L16" s="4">
        <v>0</v>
      </c>
      <c r="M16" s="4">
        <v>1290</v>
      </c>
      <c r="N16" s="4">
        <v>970</v>
      </c>
      <c r="O16" s="4">
        <v>0</v>
      </c>
      <c r="P16" s="4">
        <v>0</v>
      </c>
      <c r="Q16" s="4">
        <v>647</v>
      </c>
      <c r="R16" s="4">
        <v>323</v>
      </c>
      <c r="S16" s="4">
        <v>0</v>
      </c>
      <c r="T16" s="4">
        <v>0</v>
      </c>
      <c r="U16" s="4">
        <v>0</v>
      </c>
      <c r="V16" s="4">
        <v>0</v>
      </c>
      <c r="W16" s="4">
        <v>2500</v>
      </c>
      <c r="X16" s="4">
        <v>5280</v>
      </c>
      <c r="Y16" s="4">
        <v>8320</v>
      </c>
      <c r="Z16" s="4">
        <v>11600</v>
      </c>
      <c r="AA16" s="4">
        <v>14970</v>
      </c>
      <c r="AB16" s="4">
        <v>19930</v>
      </c>
      <c r="AC16" s="4">
        <v>3280</v>
      </c>
      <c r="AD16" s="4">
        <v>4960</v>
      </c>
      <c r="AE16" s="4">
        <v>9920</v>
      </c>
      <c r="AF16" s="4">
        <v>13290</v>
      </c>
      <c r="AG16" s="4">
        <v>18330</v>
      </c>
      <c r="AH16" s="4">
        <v>21600</v>
      </c>
      <c r="AI16" s="4">
        <v>2500</v>
      </c>
      <c r="AJ16" s="4">
        <v>5280</v>
      </c>
      <c r="AK16" s="4">
        <v>8320</v>
      </c>
      <c r="AL16" s="4">
        <v>11600</v>
      </c>
      <c r="AM16" s="4">
        <v>14970</v>
      </c>
      <c r="AN16" s="4">
        <v>19930</v>
      </c>
      <c r="AO16" s="4"/>
      <c r="AP16" s="4"/>
      <c r="AQ16" s="18"/>
    </row>
    <row r="17" spans="1:43" s="3" customFormat="1" x14ac:dyDescent="0.2">
      <c r="A17" s="6">
        <v>1995</v>
      </c>
      <c r="C17" s="4">
        <v>45.94</v>
      </c>
      <c r="D17" s="4">
        <v>38.97</v>
      </c>
      <c r="E17" s="4">
        <v>27.56</v>
      </c>
      <c r="F17" s="4">
        <v>22.04</v>
      </c>
      <c r="G17" s="4">
        <v>18.38</v>
      </c>
      <c r="H17" s="4">
        <v>14.7</v>
      </c>
      <c r="I17" s="4">
        <v>12.84</v>
      </c>
      <c r="J17" s="4">
        <v>11.02</v>
      </c>
      <c r="K17" s="4">
        <v>9.18</v>
      </c>
      <c r="L17" s="4">
        <v>0</v>
      </c>
      <c r="M17" s="4">
        <v>7.33</v>
      </c>
      <c r="N17" s="4">
        <v>5.51</v>
      </c>
      <c r="O17" s="4">
        <v>0</v>
      </c>
      <c r="P17" s="4">
        <v>0</v>
      </c>
      <c r="Q17" s="4">
        <v>3.68</v>
      </c>
      <c r="R17" s="4">
        <v>1.83</v>
      </c>
      <c r="S17" s="4">
        <v>0</v>
      </c>
      <c r="T17" s="4">
        <v>0</v>
      </c>
      <c r="U17" s="4">
        <v>0</v>
      </c>
      <c r="V17" s="4">
        <v>0</v>
      </c>
      <c r="W17" s="4">
        <v>14.2</v>
      </c>
      <c r="X17" s="4">
        <v>29.99</v>
      </c>
      <c r="Y17" s="4">
        <v>47.26</v>
      </c>
      <c r="Z17" s="4">
        <v>65.89</v>
      </c>
      <c r="AA17" s="4">
        <v>85.03</v>
      </c>
      <c r="AB17" s="4">
        <v>113.21</v>
      </c>
      <c r="AC17" s="4">
        <v>18.63</v>
      </c>
      <c r="AD17" s="4">
        <v>28.17</v>
      </c>
      <c r="AE17" s="4">
        <v>56.35</v>
      </c>
      <c r="AF17" s="4">
        <v>75.489999999999995</v>
      </c>
      <c r="AG17" s="4">
        <v>102.72</v>
      </c>
      <c r="AH17" s="4">
        <v>122.54</v>
      </c>
      <c r="AI17" s="4">
        <v>14.2</v>
      </c>
      <c r="AJ17" s="4">
        <v>29.99</v>
      </c>
      <c r="AK17" s="4">
        <v>47.26</v>
      </c>
      <c r="AL17" s="4">
        <v>65.89</v>
      </c>
      <c r="AM17" s="4">
        <v>85.03</v>
      </c>
      <c r="AN17" s="4">
        <v>113.21</v>
      </c>
      <c r="AO17" s="4"/>
      <c r="AP17" s="4"/>
      <c r="AQ17" s="18"/>
    </row>
    <row r="18" spans="1:43" s="3" customFormat="1" x14ac:dyDescent="0.2">
      <c r="A18" s="6">
        <v>1996</v>
      </c>
      <c r="C18" s="4">
        <v>46.82</v>
      </c>
      <c r="D18" s="4">
        <v>37.450000000000003</v>
      </c>
      <c r="E18" s="4">
        <v>28.09</v>
      </c>
      <c r="F18" s="4">
        <v>22.46</v>
      </c>
      <c r="G18" s="4">
        <v>18.73</v>
      </c>
      <c r="H18" s="4">
        <v>14.98</v>
      </c>
      <c r="I18" s="4">
        <v>13.09</v>
      </c>
      <c r="J18" s="4">
        <v>11.23</v>
      </c>
      <c r="K18" s="4">
        <v>9.36</v>
      </c>
      <c r="L18" s="4">
        <v>0</v>
      </c>
      <c r="M18" s="4">
        <v>7.47</v>
      </c>
      <c r="N18" s="4">
        <v>5.62</v>
      </c>
      <c r="O18" s="4">
        <v>0</v>
      </c>
      <c r="P18" s="4">
        <v>0</v>
      </c>
      <c r="Q18" s="4">
        <v>3.75</v>
      </c>
      <c r="R18" s="4">
        <v>1.86</v>
      </c>
      <c r="S18" s="4">
        <v>0</v>
      </c>
      <c r="T18" s="4">
        <v>0</v>
      </c>
      <c r="U18" s="4">
        <v>0</v>
      </c>
      <c r="V18" s="4">
        <v>0</v>
      </c>
      <c r="W18" s="4">
        <v>14.47</v>
      </c>
      <c r="X18" s="4">
        <v>30.56</v>
      </c>
      <c r="Y18" s="4">
        <v>48.16</v>
      </c>
      <c r="Z18" s="4">
        <v>67.150000000000006</v>
      </c>
      <c r="AA18" s="4">
        <v>86.65</v>
      </c>
      <c r="AB18" s="4">
        <v>115.37</v>
      </c>
      <c r="AC18" s="4">
        <v>18.989999999999998</v>
      </c>
      <c r="AD18" s="4">
        <v>28.71</v>
      </c>
      <c r="AE18" s="4">
        <v>57.43</v>
      </c>
      <c r="AF18" s="4">
        <v>76.930000000000007</v>
      </c>
      <c r="AG18" s="4">
        <v>106.11</v>
      </c>
      <c r="AH18" s="4">
        <v>125.03</v>
      </c>
      <c r="AI18" s="4">
        <v>14.47</v>
      </c>
      <c r="AJ18" s="4">
        <v>30.56</v>
      </c>
      <c r="AK18" s="4">
        <v>48.16</v>
      </c>
      <c r="AL18" s="4">
        <v>67.150000000000006</v>
      </c>
      <c r="AM18" s="4">
        <v>86.65</v>
      </c>
      <c r="AN18" s="4">
        <v>115.37</v>
      </c>
      <c r="AO18" s="4"/>
      <c r="AP18" s="4"/>
      <c r="AQ18" s="18"/>
    </row>
    <row r="19" spans="1:43" s="3" customFormat="1" x14ac:dyDescent="0.2">
      <c r="A19" s="6">
        <v>1997</v>
      </c>
      <c r="C19" s="4">
        <v>52.08</v>
      </c>
      <c r="D19" s="4">
        <v>41.66</v>
      </c>
      <c r="E19" s="4">
        <v>31.24</v>
      </c>
      <c r="F19" s="4">
        <v>24.98</v>
      </c>
      <c r="G19" s="4">
        <v>20.83</v>
      </c>
      <c r="H19" s="4">
        <v>13.25</v>
      </c>
      <c r="I19" s="4">
        <v>14.56</v>
      </c>
      <c r="J19" s="4">
        <v>12.49</v>
      </c>
      <c r="K19" s="4">
        <v>10.41</v>
      </c>
      <c r="L19" s="4">
        <v>0</v>
      </c>
      <c r="M19" s="4">
        <v>8.2899999999999991</v>
      </c>
      <c r="N19" s="4">
        <v>6.24</v>
      </c>
      <c r="O19" s="4">
        <v>0</v>
      </c>
      <c r="P19" s="4">
        <v>0</v>
      </c>
      <c r="Q19" s="4">
        <v>4.16</v>
      </c>
      <c r="R19" s="4">
        <v>2.06</v>
      </c>
      <c r="S19" s="4">
        <v>0</v>
      </c>
      <c r="T19" s="4">
        <v>0</v>
      </c>
      <c r="U19" s="4">
        <v>0</v>
      </c>
      <c r="V19" s="4">
        <v>0</v>
      </c>
      <c r="W19" s="4">
        <v>16.09</v>
      </c>
      <c r="X19" s="4">
        <v>33.99</v>
      </c>
      <c r="Y19" s="4">
        <v>53.57</v>
      </c>
      <c r="Z19" s="4">
        <v>74.7</v>
      </c>
      <c r="AA19" s="4">
        <v>96.39</v>
      </c>
      <c r="AB19" s="4">
        <v>128.35</v>
      </c>
      <c r="AC19" s="4">
        <v>21.12</v>
      </c>
      <c r="AD19" s="4">
        <v>31.93</v>
      </c>
      <c r="AE19" s="4">
        <v>63.89</v>
      </c>
      <c r="AF19" s="4">
        <v>85.58</v>
      </c>
      <c r="AG19" s="4">
        <v>118.04</v>
      </c>
      <c r="AH19" s="4">
        <v>139.1</v>
      </c>
      <c r="AI19" s="4">
        <v>16.09</v>
      </c>
      <c r="AJ19" s="4">
        <v>33.99</v>
      </c>
      <c r="AK19" s="4">
        <v>53.57</v>
      </c>
      <c r="AL19" s="4">
        <v>74.7</v>
      </c>
      <c r="AM19" s="4">
        <v>96.39</v>
      </c>
      <c r="AN19" s="4">
        <v>128.35</v>
      </c>
      <c r="AO19" s="4"/>
      <c r="AP19" s="4"/>
      <c r="AQ19" s="18"/>
    </row>
    <row r="20" spans="1:43" s="3" customFormat="1" x14ac:dyDescent="0.2">
      <c r="A20" s="6">
        <v>1998</v>
      </c>
      <c r="C20" s="4">
        <v>52.08</v>
      </c>
      <c r="D20" s="4">
        <v>41.66</v>
      </c>
      <c r="E20" s="4">
        <v>31.24</v>
      </c>
      <c r="F20" s="4">
        <v>24.98</v>
      </c>
      <c r="G20" s="4">
        <v>20.83</v>
      </c>
      <c r="H20" s="4">
        <v>13.25</v>
      </c>
      <c r="I20" s="4">
        <v>14.56</v>
      </c>
      <c r="J20" s="4">
        <v>12.49</v>
      </c>
      <c r="K20" s="4">
        <v>10.41</v>
      </c>
      <c r="L20" s="4">
        <v>0</v>
      </c>
      <c r="M20" s="4">
        <v>8.2899999999999991</v>
      </c>
      <c r="N20" s="4">
        <v>6.24</v>
      </c>
      <c r="O20" s="4">
        <v>0</v>
      </c>
      <c r="P20" s="4">
        <v>0</v>
      </c>
      <c r="Q20" s="4">
        <v>4.16</v>
      </c>
      <c r="R20" s="4">
        <v>2.06</v>
      </c>
      <c r="S20" s="4">
        <v>0</v>
      </c>
      <c r="T20" s="4">
        <v>0</v>
      </c>
      <c r="U20" s="4">
        <v>0</v>
      </c>
      <c r="V20" s="4">
        <v>0</v>
      </c>
      <c r="W20" s="4">
        <v>16.09</v>
      </c>
      <c r="X20" s="4">
        <v>33.99</v>
      </c>
      <c r="Y20" s="4">
        <v>53.57</v>
      </c>
      <c r="Z20" s="4">
        <v>74.7</v>
      </c>
      <c r="AA20" s="4">
        <v>96.39</v>
      </c>
      <c r="AB20" s="4">
        <v>128.35</v>
      </c>
      <c r="AC20" s="4">
        <v>21.12</v>
      </c>
      <c r="AD20" s="4">
        <v>31.93</v>
      </c>
      <c r="AE20" s="4">
        <v>63.89</v>
      </c>
      <c r="AF20" s="4">
        <v>85.58</v>
      </c>
      <c r="AG20" s="4">
        <v>118.04</v>
      </c>
      <c r="AH20" s="4">
        <v>139.1</v>
      </c>
      <c r="AI20" s="4">
        <v>16.09</v>
      </c>
      <c r="AJ20" s="4">
        <v>33.99</v>
      </c>
      <c r="AK20" s="4">
        <v>53.57</v>
      </c>
      <c r="AL20" s="4">
        <v>74.7</v>
      </c>
      <c r="AM20" s="4">
        <v>96.39</v>
      </c>
      <c r="AN20" s="4">
        <v>128.35</v>
      </c>
      <c r="AO20" s="4"/>
      <c r="AP20" s="4"/>
      <c r="AQ20" s="18"/>
    </row>
    <row r="21" spans="1:43" s="3" customFormat="1" x14ac:dyDescent="0.2">
      <c r="A21" s="6">
        <v>1999</v>
      </c>
      <c r="C21" s="4">
        <v>57.39</v>
      </c>
      <c r="D21" s="4">
        <v>45.92</v>
      </c>
      <c r="E21" s="4">
        <v>34.43</v>
      </c>
      <c r="F21" s="4">
        <v>27.53</v>
      </c>
      <c r="G21" s="4">
        <v>22.95</v>
      </c>
      <c r="H21" s="4">
        <v>18.37</v>
      </c>
      <c r="I21" s="4">
        <v>16.04</v>
      </c>
      <c r="J21" s="4">
        <v>13.76</v>
      </c>
      <c r="K21" s="4">
        <v>11.47</v>
      </c>
      <c r="L21" s="4">
        <v>0</v>
      </c>
      <c r="M21" s="4">
        <v>9.14</v>
      </c>
      <c r="N21" s="4">
        <v>6.88</v>
      </c>
      <c r="O21" s="4">
        <v>0</v>
      </c>
      <c r="P21" s="4">
        <v>0</v>
      </c>
      <c r="Q21" s="4">
        <v>4.5999999999999996</v>
      </c>
      <c r="R21" s="4">
        <v>2.2799999999999998</v>
      </c>
      <c r="S21" s="4">
        <v>0</v>
      </c>
      <c r="T21" s="4">
        <v>0</v>
      </c>
      <c r="U21" s="4">
        <v>0</v>
      </c>
      <c r="V21" s="4">
        <v>0</v>
      </c>
      <c r="W21" s="4">
        <v>17.739999999999998</v>
      </c>
      <c r="X21" s="4">
        <v>37.47</v>
      </c>
      <c r="Y21" s="4">
        <v>59.04</v>
      </c>
      <c r="Z21" s="4">
        <v>82.33</v>
      </c>
      <c r="AA21" s="4">
        <v>106.24</v>
      </c>
      <c r="AB21" s="4">
        <v>141.44999999999999</v>
      </c>
      <c r="AC21" s="4">
        <v>23.28</v>
      </c>
      <c r="AD21" s="4">
        <v>35.200000000000003</v>
      </c>
      <c r="AE21" s="4">
        <v>70.900000000000006</v>
      </c>
      <c r="AF21" s="4">
        <v>94.32</v>
      </c>
      <c r="AG21" s="4">
        <v>130.1</v>
      </c>
      <c r="AH21" s="4">
        <v>153.28</v>
      </c>
      <c r="AI21" s="4">
        <v>17.739999999999998</v>
      </c>
      <c r="AJ21" s="4">
        <v>37.47</v>
      </c>
      <c r="AK21" s="4">
        <v>59.04</v>
      </c>
      <c r="AL21" s="4">
        <v>82.33</v>
      </c>
      <c r="AM21" s="4">
        <v>106.24</v>
      </c>
      <c r="AN21" s="4">
        <v>141.44999999999999</v>
      </c>
      <c r="AO21" s="4"/>
      <c r="AP21" s="4"/>
      <c r="AQ21" s="18"/>
    </row>
    <row r="22" spans="1:43" s="3" customFormat="1" x14ac:dyDescent="0.2">
      <c r="A22" s="6">
        <v>2000</v>
      </c>
      <c r="B22" s="3" t="s">
        <v>57</v>
      </c>
      <c r="C22" s="4">
        <v>65.150000000000006</v>
      </c>
      <c r="D22" s="4">
        <v>52.13</v>
      </c>
      <c r="E22" s="4">
        <v>39.08</v>
      </c>
      <c r="F22" s="4">
        <v>31.25</v>
      </c>
      <c r="G22" s="4">
        <v>26.05</v>
      </c>
      <c r="H22" s="4">
        <v>20.85</v>
      </c>
      <c r="I22" s="4">
        <v>18.21</v>
      </c>
      <c r="J22" s="4">
        <v>15.62</v>
      </c>
      <c r="K22" s="4">
        <v>13.02</v>
      </c>
      <c r="L22" s="4">
        <v>0</v>
      </c>
      <c r="M22" s="4">
        <v>10.38</v>
      </c>
      <c r="N22" s="4">
        <v>7.81</v>
      </c>
      <c r="O22" s="4">
        <v>0</v>
      </c>
      <c r="P22" s="4">
        <v>0</v>
      </c>
      <c r="Q22" s="4">
        <v>5.22</v>
      </c>
      <c r="R22" s="4">
        <v>2.59</v>
      </c>
      <c r="S22" s="4">
        <v>0</v>
      </c>
      <c r="T22" s="4">
        <v>0</v>
      </c>
      <c r="U22" s="4">
        <v>0</v>
      </c>
      <c r="V22" s="4">
        <v>0</v>
      </c>
      <c r="W22" s="4">
        <v>20.14</v>
      </c>
      <c r="X22" s="4">
        <v>42.54</v>
      </c>
      <c r="Y22" s="4">
        <v>67.02</v>
      </c>
      <c r="Z22" s="4">
        <v>93.46</v>
      </c>
      <c r="AA22" s="4">
        <v>120.6</v>
      </c>
      <c r="AB22" s="4">
        <v>160.57</v>
      </c>
      <c r="AC22" s="4">
        <v>26.43</v>
      </c>
      <c r="AD22" s="4">
        <v>39.96</v>
      </c>
      <c r="AE22" s="4">
        <v>79.92</v>
      </c>
      <c r="AF22" s="4">
        <v>107.07</v>
      </c>
      <c r="AG22" s="4">
        <v>147.69</v>
      </c>
      <c r="AH22" s="4">
        <v>174</v>
      </c>
      <c r="AI22" s="4">
        <v>20.14</v>
      </c>
      <c r="AJ22" s="4">
        <v>42.54</v>
      </c>
      <c r="AK22" s="4">
        <v>67.02</v>
      </c>
      <c r="AL22" s="4">
        <v>93.46</v>
      </c>
      <c r="AM22" s="4">
        <v>120.6</v>
      </c>
      <c r="AN22" s="4">
        <v>160.57</v>
      </c>
      <c r="AO22" s="4"/>
      <c r="AP22" s="4"/>
      <c r="AQ22" s="18"/>
    </row>
    <row r="23" spans="1:43" s="3" customFormat="1" x14ac:dyDescent="0.2">
      <c r="A23" s="6">
        <v>2001</v>
      </c>
      <c r="B23" s="3" t="s">
        <v>58</v>
      </c>
      <c r="C23" s="4">
        <v>73.62</v>
      </c>
      <c r="D23" s="4">
        <v>58.91</v>
      </c>
      <c r="E23" s="4">
        <v>44.16</v>
      </c>
      <c r="F23" s="4">
        <v>35.31</v>
      </c>
      <c r="G23" s="4">
        <v>29.44</v>
      </c>
      <c r="H23" s="4">
        <v>23.56</v>
      </c>
      <c r="I23" s="4">
        <v>20.58</v>
      </c>
      <c r="J23" s="4">
        <v>17.649999999999999</v>
      </c>
      <c r="K23" s="4">
        <v>14.71</v>
      </c>
      <c r="L23" s="4">
        <v>0</v>
      </c>
      <c r="M23" s="4">
        <v>11.73</v>
      </c>
      <c r="N23" s="4">
        <v>8.83</v>
      </c>
      <c r="O23" s="4">
        <v>0</v>
      </c>
      <c r="P23" s="4">
        <v>0</v>
      </c>
      <c r="Q23" s="4">
        <v>5.9</v>
      </c>
      <c r="R23" s="4">
        <v>2.93</v>
      </c>
      <c r="S23" s="4">
        <v>0</v>
      </c>
      <c r="T23" s="4">
        <v>0</v>
      </c>
      <c r="U23" s="4">
        <v>0</v>
      </c>
      <c r="V23" s="4">
        <v>0</v>
      </c>
      <c r="W23" s="4">
        <v>22.76</v>
      </c>
      <c r="X23" s="4">
        <v>48.07</v>
      </c>
      <c r="Y23" s="4">
        <v>75.73</v>
      </c>
      <c r="Z23" s="4">
        <v>105.61</v>
      </c>
      <c r="AA23" s="4">
        <v>136.28</v>
      </c>
      <c r="AB23" s="4">
        <v>181.44</v>
      </c>
      <c r="AC23" s="4">
        <v>29.87</v>
      </c>
      <c r="AD23" s="4">
        <v>45.15</v>
      </c>
      <c r="AE23" s="4">
        <v>90.31</v>
      </c>
      <c r="AF23" s="4">
        <v>120.99</v>
      </c>
      <c r="AG23" s="4">
        <v>166.89</v>
      </c>
      <c r="AH23" s="4">
        <v>196.62</v>
      </c>
      <c r="AI23" s="4">
        <v>22.76</v>
      </c>
      <c r="AJ23" s="4">
        <v>48.07</v>
      </c>
      <c r="AK23" s="4">
        <v>75.73</v>
      </c>
      <c r="AL23" s="4">
        <v>105.61</v>
      </c>
      <c r="AM23" s="4">
        <v>136.28</v>
      </c>
      <c r="AN23" s="4">
        <v>181.44</v>
      </c>
      <c r="AO23" s="4"/>
      <c r="AP23" s="4"/>
      <c r="AQ23" s="18"/>
    </row>
    <row r="24" spans="1:43" s="3" customFormat="1" x14ac:dyDescent="0.2">
      <c r="A24" s="6">
        <v>2002</v>
      </c>
      <c r="B24" s="3" t="s">
        <v>59</v>
      </c>
      <c r="C24" s="4">
        <v>80.989999999999995</v>
      </c>
      <c r="D24" s="4">
        <v>64.81</v>
      </c>
      <c r="E24" s="4">
        <v>48.58</v>
      </c>
      <c r="F24" s="4">
        <v>38.840000000000003</v>
      </c>
      <c r="G24" s="4">
        <v>32.39</v>
      </c>
      <c r="H24" s="4">
        <v>25.92</v>
      </c>
      <c r="I24" s="4">
        <v>22.64</v>
      </c>
      <c r="J24" s="4">
        <v>19.420000000000002</v>
      </c>
      <c r="K24" s="4">
        <v>16.18</v>
      </c>
      <c r="L24" s="4">
        <v>0</v>
      </c>
      <c r="M24" s="4">
        <v>12.9</v>
      </c>
      <c r="N24" s="4">
        <v>9.7100000000000009</v>
      </c>
      <c r="O24" s="4">
        <v>0</v>
      </c>
      <c r="P24" s="4">
        <v>0</v>
      </c>
      <c r="Q24" s="4">
        <v>6.49</v>
      </c>
      <c r="R24" s="4">
        <v>3.22</v>
      </c>
      <c r="S24" s="4">
        <v>0</v>
      </c>
      <c r="T24" s="4">
        <v>0</v>
      </c>
      <c r="U24" s="4">
        <v>0</v>
      </c>
      <c r="V24" s="4">
        <v>0</v>
      </c>
      <c r="W24" s="4">
        <v>25.04</v>
      </c>
      <c r="X24" s="4">
        <v>52.88</v>
      </c>
      <c r="Y24" s="4">
        <v>83.31</v>
      </c>
      <c r="Z24" s="4">
        <v>116.18</v>
      </c>
      <c r="AA24" s="4">
        <v>149.91999999999999</v>
      </c>
      <c r="AB24" s="4">
        <v>199.6</v>
      </c>
      <c r="AC24" s="4">
        <v>32.86</v>
      </c>
      <c r="AD24" s="4">
        <v>49.67</v>
      </c>
      <c r="AE24" s="4">
        <v>99.35</v>
      </c>
      <c r="AF24" s="4">
        <v>133.1</v>
      </c>
      <c r="AG24" s="4">
        <v>183.6</v>
      </c>
      <c r="AH24" s="4">
        <v>216.3</v>
      </c>
      <c r="AI24" s="4">
        <v>25.04</v>
      </c>
      <c r="AJ24" s="4">
        <v>52.88</v>
      </c>
      <c r="AK24" s="4">
        <v>83.31</v>
      </c>
      <c r="AL24" s="4">
        <v>116.18</v>
      </c>
      <c r="AM24" s="4">
        <v>149.91999999999999</v>
      </c>
      <c r="AN24" s="4">
        <v>199.6</v>
      </c>
      <c r="AO24" s="4"/>
      <c r="AP24" s="4"/>
      <c r="AQ24" s="18"/>
    </row>
    <row r="25" spans="1:43" s="3" customFormat="1" x14ac:dyDescent="0.2">
      <c r="A25" s="6">
        <v>2003</v>
      </c>
      <c r="B25" s="3" t="s">
        <v>60</v>
      </c>
      <c r="C25" s="4">
        <v>98.04</v>
      </c>
      <c r="D25" s="4">
        <v>78.45</v>
      </c>
      <c r="E25" s="4">
        <v>58.81</v>
      </c>
      <c r="F25" s="4">
        <v>47.02</v>
      </c>
      <c r="G25" s="4">
        <v>39.21</v>
      </c>
      <c r="H25" s="4">
        <v>31.38</v>
      </c>
      <c r="I25" s="4">
        <v>27.41</v>
      </c>
      <c r="J25" s="4">
        <v>23.51</v>
      </c>
      <c r="K25" s="4">
        <v>19.59</v>
      </c>
      <c r="L25" s="4">
        <v>15.773999999999999</v>
      </c>
      <c r="M25" s="4">
        <v>15.62</v>
      </c>
      <c r="N25" s="4">
        <v>11.75</v>
      </c>
      <c r="O25" s="4">
        <v>10.89</v>
      </c>
      <c r="P25" s="4">
        <v>9.68</v>
      </c>
      <c r="Q25" s="4">
        <v>7.86</v>
      </c>
      <c r="R25" s="4">
        <v>3.9</v>
      </c>
      <c r="S25" s="4">
        <v>0</v>
      </c>
      <c r="T25" s="4">
        <v>0</v>
      </c>
      <c r="U25" s="4">
        <v>0</v>
      </c>
      <c r="V25" s="4">
        <v>0</v>
      </c>
      <c r="W25" s="4">
        <v>30.31</v>
      </c>
      <c r="X25" s="4">
        <v>64.010000000000005</v>
      </c>
      <c r="Y25" s="4">
        <v>100.85</v>
      </c>
      <c r="Z25" s="4">
        <v>140.63999999999999</v>
      </c>
      <c r="AA25" s="4">
        <v>181.48</v>
      </c>
      <c r="AB25" s="4">
        <v>241.62</v>
      </c>
      <c r="AC25" s="4">
        <v>39.78</v>
      </c>
      <c r="AD25" s="4">
        <v>60.13</v>
      </c>
      <c r="AE25" s="4">
        <v>120.26</v>
      </c>
      <c r="AF25" s="4">
        <v>161.12</v>
      </c>
      <c r="AG25" s="4">
        <v>222.25</v>
      </c>
      <c r="AH25" s="4">
        <v>261.83</v>
      </c>
      <c r="AI25" s="4">
        <v>30.31</v>
      </c>
      <c r="AJ25" s="4">
        <v>64.010000000000005</v>
      </c>
      <c r="AK25" s="4">
        <v>100.85</v>
      </c>
      <c r="AL25" s="4">
        <v>140.63999999999999</v>
      </c>
      <c r="AM25" s="4">
        <v>181.48</v>
      </c>
      <c r="AN25" s="4">
        <v>241.62</v>
      </c>
      <c r="AO25" s="4"/>
      <c r="AP25" s="4"/>
      <c r="AQ25" s="18"/>
    </row>
    <row r="26" spans="1:43" s="3" customFormat="1" x14ac:dyDescent="0.2">
      <c r="A26" s="6">
        <v>2004</v>
      </c>
      <c r="B26" s="3" t="s">
        <v>61</v>
      </c>
      <c r="C26" s="4">
        <v>109.89</v>
      </c>
      <c r="D26" s="4">
        <v>87.93</v>
      </c>
      <c r="E26" s="4">
        <v>65.92</v>
      </c>
      <c r="F26" s="4">
        <v>52.7</v>
      </c>
      <c r="G26" s="4">
        <v>43.95</v>
      </c>
      <c r="H26" s="4">
        <v>35.17</v>
      </c>
      <c r="I26" s="4">
        <v>30.72</v>
      </c>
      <c r="J26" s="4">
        <v>26.35</v>
      </c>
      <c r="K26" s="4">
        <v>21.95</v>
      </c>
      <c r="L26" s="4">
        <v>17.64</v>
      </c>
      <c r="M26" s="4">
        <v>17.5</v>
      </c>
      <c r="N26" s="4">
        <v>13.17</v>
      </c>
      <c r="O26" s="4">
        <v>12.2</v>
      </c>
      <c r="P26" s="4">
        <v>10.85</v>
      </c>
      <c r="Q26" s="4">
        <v>8.81</v>
      </c>
      <c r="R26" s="4">
        <v>4.37</v>
      </c>
      <c r="S26" s="4">
        <v>0</v>
      </c>
      <c r="T26" s="4">
        <v>0</v>
      </c>
      <c r="U26" s="4">
        <v>0</v>
      </c>
      <c r="V26" s="4">
        <v>0</v>
      </c>
      <c r="W26" s="4">
        <v>33.97</v>
      </c>
      <c r="X26" s="4">
        <v>71.739999999999995</v>
      </c>
      <c r="Y26" s="4">
        <v>113.04</v>
      </c>
      <c r="Z26" s="4">
        <v>157.63999999999999</v>
      </c>
      <c r="AA26" s="4">
        <v>203.42</v>
      </c>
      <c r="AB26" s="4">
        <v>270.83</v>
      </c>
      <c r="AC26" s="4">
        <v>44.58</v>
      </c>
      <c r="AD26" s="4">
        <v>67.39</v>
      </c>
      <c r="AE26" s="4">
        <v>134.79</v>
      </c>
      <c r="AF26" s="4">
        <v>180.59</v>
      </c>
      <c r="AG26" s="4">
        <v>249.12</v>
      </c>
      <c r="AH26" s="4">
        <v>293.48</v>
      </c>
      <c r="AI26" s="4">
        <v>33.97</v>
      </c>
      <c r="AJ26" s="4">
        <v>71.739999999999995</v>
      </c>
      <c r="AK26" s="4">
        <v>113.04</v>
      </c>
      <c r="AL26" s="4">
        <v>157.63999999999999</v>
      </c>
      <c r="AM26" s="4">
        <v>203.42</v>
      </c>
      <c r="AN26" s="4">
        <v>270.83</v>
      </c>
      <c r="AO26" s="4"/>
      <c r="AP26" s="4"/>
      <c r="AQ26" s="18"/>
    </row>
    <row r="27" spans="1:43" s="3" customFormat="1" x14ac:dyDescent="0.2">
      <c r="A27" s="6">
        <v>2005</v>
      </c>
      <c r="B27" s="3" t="s">
        <v>62</v>
      </c>
      <c r="C27" s="4">
        <v>122.98</v>
      </c>
      <c r="D27" s="4">
        <v>98.41</v>
      </c>
      <c r="E27" s="4">
        <v>73.78</v>
      </c>
      <c r="F27" s="4">
        <v>58.98</v>
      </c>
      <c r="G27" s="4">
        <v>49.19</v>
      </c>
      <c r="H27" s="4">
        <v>39.36</v>
      </c>
      <c r="I27" s="4">
        <v>34.380000000000003</v>
      </c>
      <c r="J27" s="4">
        <v>29.49</v>
      </c>
      <c r="K27" s="4">
        <v>24.57</v>
      </c>
      <c r="L27" s="4">
        <v>19.739999999999998</v>
      </c>
      <c r="M27" s="4">
        <v>19.59</v>
      </c>
      <c r="N27" s="4">
        <v>14.74</v>
      </c>
      <c r="O27" s="4">
        <v>13.66</v>
      </c>
      <c r="P27" s="4">
        <v>12.15</v>
      </c>
      <c r="Q27" s="4">
        <v>9.86</v>
      </c>
      <c r="R27" s="4">
        <v>4.8899999999999997</v>
      </c>
      <c r="S27" s="4">
        <v>0</v>
      </c>
      <c r="T27" s="4">
        <v>0</v>
      </c>
      <c r="U27" s="4">
        <v>0</v>
      </c>
      <c r="V27" s="4">
        <v>0</v>
      </c>
      <c r="W27" s="4">
        <v>38.020000000000003</v>
      </c>
      <c r="X27" s="4">
        <v>80.290000000000006</v>
      </c>
      <c r="Y27" s="4">
        <v>126.51</v>
      </c>
      <c r="Z27" s="4">
        <v>176.42</v>
      </c>
      <c r="AA27" s="4">
        <v>227.65</v>
      </c>
      <c r="AB27" s="4">
        <v>303.08999999999997</v>
      </c>
      <c r="AC27" s="4">
        <v>49.89</v>
      </c>
      <c r="AD27" s="4">
        <v>75.42</v>
      </c>
      <c r="AE27" s="4">
        <v>150.85</v>
      </c>
      <c r="AF27" s="4">
        <v>202.1</v>
      </c>
      <c r="AG27" s="4">
        <v>278.79000000000002</v>
      </c>
      <c r="AH27" s="4">
        <v>328.44</v>
      </c>
      <c r="AI27" s="4">
        <v>38.020000000000003</v>
      </c>
      <c r="AJ27" s="4">
        <v>80.290000000000006</v>
      </c>
      <c r="AK27" s="4">
        <v>126.51</v>
      </c>
      <c r="AL27" s="4">
        <v>176.42</v>
      </c>
      <c r="AM27" s="4">
        <v>227.65</v>
      </c>
      <c r="AN27" s="4">
        <v>303.08999999999997</v>
      </c>
      <c r="AO27" s="4"/>
      <c r="AP27" s="4"/>
      <c r="AQ27" s="18"/>
    </row>
    <row r="28" spans="1:43" s="3" customFormat="1" x14ac:dyDescent="0.2">
      <c r="A28" s="6">
        <v>2006</v>
      </c>
      <c r="B28" s="3" t="s">
        <v>63</v>
      </c>
      <c r="C28" s="4">
        <v>130.75</v>
      </c>
      <c r="D28" s="4">
        <v>104.63</v>
      </c>
      <c r="E28" s="4">
        <v>78.44</v>
      </c>
      <c r="F28" s="4">
        <v>62.71</v>
      </c>
      <c r="G28" s="4">
        <v>52.3</v>
      </c>
      <c r="H28" s="4">
        <v>41.85</v>
      </c>
      <c r="I28" s="4">
        <v>36.549999999999997</v>
      </c>
      <c r="J28" s="4">
        <v>31.35</v>
      </c>
      <c r="K28" s="4">
        <v>26.12</v>
      </c>
      <c r="L28" s="4">
        <v>20.99</v>
      </c>
      <c r="M28" s="4">
        <v>20.83</v>
      </c>
      <c r="N28" s="4">
        <v>15.67</v>
      </c>
      <c r="O28" s="4">
        <v>14.52</v>
      </c>
      <c r="P28" s="4">
        <v>12.92</v>
      </c>
      <c r="Q28" s="4">
        <v>10.48</v>
      </c>
      <c r="R28" s="4">
        <v>5.2</v>
      </c>
      <c r="S28" s="4">
        <v>0</v>
      </c>
      <c r="T28" s="4">
        <v>0</v>
      </c>
      <c r="U28" s="4">
        <v>0</v>
      </c>
      <c r="V28" s="4">
        <v>0</v>
      </c>
      <c r="W28" s="4">
        <v>40.42</v>
      </c>
      <c r="X28" s="4">
        <v>85.36</v>
      </c>
      <c r="Y28" s="4">
        <v>134.51</v>
      </c>
      <c r="Z28" s="4">
        <v>187.57</v>
      </c>
      <c r="AA28" s="4">
        <v>242.04</v>
      </c>
      <c r="AB28" s="4">
        <v>322.25</v>
      </c>
      <c r="AC28" s="4">
        <v>53.04</v>
      </c>
      <c r="AD28" s="4">
        <v>80.19</v>
      </c>
      <c r="AE28" s="4">
        <v>160.38</v>
      </c>
      <c r="AF28" s="4">
        <v>214.87</v>
      </c>
      <c r="AG28" s="4">
        <v>296.41000000000003</v>
      </c>
      <c r="AH28" s="4">
        <v>349.2</v>
      </c>
      <c r="AI28" s="4">
        <v>40.42</v>
      </c>
      <c r="AJ28" s="4">
        <v>85.36</v>
      </c>
      <c r="AK28" s="4">
        <v>134.51</v>
      </c>
      <c r="AL28" s="4">
        <v>187.57</v>
      </c>
      <c r="AM28" s="4">
        <v>242.04</v>
      </c>
      <c r="AN28" s="4">
        <v>322.25</v>
      </c>
      <c r="AO28" s="4"/>
      <c r="AP28" s="4"/>
      <c r="AQ28" s="18"/>
    </row>
    <row r="29" spans="1:43" s="3" customFormat="1" x14ac:dyDescent="0.2">
      <c r="A29" s="6">
        <v>2007</v>
      </c>
      <c r="B29" s="3" t="s">
        <v>64</v>
      </c>
      <c r="C29" s="4">
        <v>135.01</v>
      </c>
      <c r="D29" s="4">
        <v>108.03</v>
      </c>
      <c r="E29" s="4">
        <v>81</v>
      </c>
      <c r="F29" s="4">
        <v>64.75</v>
      </c>
      <c r="G29" s="4">
        <v>53.99</v>
      </c>
      <c r="H29" s="4">
        <v>43.21</v>
      </c>
      <c r="I29" s="4">
        <v>37.74</v>
      </c>
      <c r="J29" s="4">
        <v>32.369999999999997</v>
      </c>
      <c r="K29" s="4">
        <v>26.97</v>
      </c>
      <c r="L29" s="4">
        <v>21.67</v>
      </c>
      <c r="M29" s="4">
        <v>21.5</v>
      </c>
      <c r="N29" s="4">
        <v>16.170000000000002</v>
      </c>
      <c r="O29" s="4">
        <v>14.99</v>
      </c>
      <c r="P29" s="4">
        <v>13.34</v>
      </c>
      <c r="Q29" s="4">
        <v>10.82</v>
      </c>
      <c r="R29" s="4">
        <v>5.37</v>
      </c>
      <c r="S29" s="4">
        <v>0</v>
      </c>
      <c r="T29" s="4">
        <v>0</v>
      </c>
      <c r="U29" s="4">
        <v>0</v>
      </c>
      <c r="V29" s="4">
        <v>0</v>
      </c>
      <c r="W29" s="4">
        <v>41.73</v>
      </c>
      <c r="X29" s="4">
        <v>88.14</v>
      </c>
      <c r="Y29" s="4">
        <v>138.88</v>
      </c>
      <c r="Z29" s="4">
        <v>193.68</v>
      </c>
      <c r="AA29" s="4">
        <v>249.92</v>
      </c>
      <c r="AB29" s="4">
        <v>332.74</v>
      </c>
      <c r="AC29" s="4">
        <v>54.77</v>
      </c>
      <c r="AD29" s="4">
        <v>82.79</v>
      </c>
      <c r="AE29" s="4">
        <v>165.61</v>
      </c>
      <c r="AF29" s="4">
        <v>221.87</v>
      </c>
      <c r="AG29" s="4">
        <v>306.07</v>
      </c>
      <c r="AH29" s="4">
        <v>360.57</v>
      </c>
      <c r="AI29" s="4">
        <v>41.73</v>
      </c>
      <c r="AJ29" s="4">
        <v>88.14</v>
      </c>
      <c r="AK29" s="4">
        <v>138.88</v>
      </c>
      <c r="AL29" s="4">
        <v>193.68</v>
      </c>
      <c r="AM29" s="4">
        <v>249.92</v>
      </c>
      <c r="AN29" s="4">
        <v>332.74</v>
      </c>
      <c r="AO29" s="4"/>
      <c r="AP29" s="4"/>
      <c r="AQ29" s="18"/>
    </row>
    <row r="30" spans="1:43" s="3" customFormat="1" x14ac:dyDescent="0.2">
      <c r="A30" s="6">
        <v>2008</v>
      </c>
      <c r="B30" s="3" t="s">
        <v>65</v>
      </c>
      <c r="C30" s="4">
        <v>140.47</v>
      </c>
      <c r="D30" s="4">
        <v>112.4</v>
      </c>
      <c r="E30" s="4">
        <v>84.28</v>
      </c>
      <c r="F30" s="4">
        <v>67.37</v>
      </c>
      <c r="G30" s="4">
        <v>56.18</v>
      </c>
      <c r="H30" s="4">
        <v>44.96</v>
      </c>
      <c r="I30" s="4">
        <v>39.270000000000003</v>
      </c>
      <c r="J30" s="4">
        <v>33.68</v>
      </c>
      <c r="K30" s="4">
        <v>28.06</v>
      </c>
      <c r="L30" s="4">
        <v>0</v>
      </c>
      <c r="M30" s="4">
        <v>22.37</v>
      </c>
      <c r="N30" s="4">
        <v>16.829999999999998</v>
      </c>
      <c r="O30" s="4">
        <v>0</v>
      </c>
      <c r="P30" s="4">
        <v>0</v>
      </c>
      <c r="Q30" s="4">
        <v>11.26</v>
      </c>
      <c r="R30" s="4">
        <v>5.59</v>
      </c>
      <c r="S30" s="4">
        <v>22.55</v>
      </c>
      <c r="T30" s="4">
        <v>15.6</v>
      </c>
      <c r="U30" s="4">
        <v>13.88</v>
      </c>
      <c r="V30" s="4">
        <v>23.03</v>
      </c>
      <c r="W30" s="4">
        <v>43.42</v>
      </c>
      <c r="X30" s="4">
        <v>91.7</v>
      </c>
      <c r="Y30" s="4">
        <v>144.49</v>
      </c>
      <c r="Z30" s="4">
        <v>201.51</v>
      </c>
      <c r="AA30" s="4">
        <v>260.02</v>
      </c>
      <c r="AB30" s="4">
        <v>346.19</v>
      </c>
      <c r="AC30" s="4">
        <v>56.99</v>
      </c>
      <c r="AD30" s="4">
        <v>86.14</v>
      </c>
      <c r="AE30" s="4">
        <v>172.3</v>
      </c>
      <c r="AF30" s="4">
        <v>230.84</v>
      </c>
      <c r="AG30" s="4">
        <v>318.44</v>
      </c>
      <c r="AH30" s="4">
        <v>375.14</v>
      </c>
      <c r="AI30" s="4">
        <v>43.42</v>
      </c>
      <c r="AJ30" s="4">
        <v>91.7</v>
      </c>
      <c r="AK30" s="4">
        <v>144.49</v>
      </c>
      <c r="AL30" s="4">
        <v>201.51</v>
      </c>
      <c r="AM30" s="4">
        <v>260.02</v>
      </c>
      <c r="AN30" s="4">
        <v>346.19</v>
      </c>
      <c r="AO30" s="4"/>
      <c r="AP30" s="4"/>
      <c r="AQ30" s="18"/>
    </row>
    <row r="31" spans="1:43" s="3" customFormat="1" x14ac:dyDescent="0.2">
      <c r="A31" s="6">
        <v>2009</v>
      </c>
      <c r="B31" s="3" t="s">
        <v>66</v>
      </c>
      <c r="C31" s="4">
        <v>149.22</v>
      </c>
      <c r="D31" s="4">
        <v>119.4</v>
      </c>
      <c r="E31" s="4">
        <v>89.53</v>
      </c>
      <c r="F31" s="4">
        <v>71.569999999999993</v>
      </c>
      <c r="G31" s="4">
        <v>59.68</v>
      </c>
      <c r="H31" s="4">
        <v>47.76</v>
      </c>
      <c r="I31" s="4">
        <v>41.72</v>
      </c>
      <c r="J31" s="4">
        <v>35.78</v>
      </c>
      <c r="K31" s="4">
        <v>29.81</v>
      </c>
      <c r="L31" s="4">
        <v>0</v>
      </c>
      <c r="M31" s="4">
        <v>23.76</v>
      </c>
      <c r="N31" s="4">
        <v>17.88</v>
      </c>
      <c r="O31" s="4">
        <v>0</v>
      </c>
      <c r="P31" s="4">
        <v>0</v>
      </c>
      <c r="Q31" s="4">
        <v>11.96</v>
      </c>
      <c r="R31" s="4">
        <v>5.94</v>
      </c>
      <c r="S31" s="4">
        <v>23.95</v>
      </c>
      <c r="T31" s="4">
        <v>16.57</v>
      </c>
      <c r="U31" s="4">
        <v>14.74</v>
      </c>
      <c r="V31" s="4">
        <v>24.46</v>
      </c>
      <c r="W31" s="4">
        <v>46.13</v>
      </c>
      <c r="X31" s="4">
        <v>97.41</v>
      </c>
      <c r="Y31" s="4">
        <v>153.49</v>
      </c>
      <c r="Z31" s="4">
        <v>214.06</v>
      </c>
      <c r="AA31" s="4">
        <v>276.22000000000003</v>
      </c>
      <c r="AB31" s="4">
        <v>367.76</v>
      </c>
      <c r="AC31" s="4">
        <v>60.54</v>
      </c>
      <c r="AD31" s="4">
        <v>91.51</v>
      </c>
      <c r="AE31" s="4">
        <v>183.03</v>
      </c>
      <c r="AF31" s="4">
        <v>245.22</v>
      </c>
      <c r="AG31" s="4">
        <v>338.28</v>
      </c>
      <c r="AH31" s="4">
        <v>398.51</v>
      </c>
      <c r="AI31" s="4">
        <v>46.13</v>
      </c>
      <c r="AJ31" s="4">
        <v>97.41</v>
      </c>
      <c r="AK31" s="4">
        <v>153.49</v>
      </c>
      <c r="AL31" s="4">
        <v>214.06</v>
      </c>
      <c r="AM31" s="4">
        <v>276.22000000000003</v>
      </c>
      <c r="AN31" s="4">
        <v>367.76</v>
      </c>
      <c r="AO31" s="4"/>
      <c r="AP31" s="4"/>
      <c r="AQ31" s="18"/>
    </row>
    <row r="32" spans="1:43" x14ac:dyDescent="0.2">
      <c r="A32" s="6">
        <v>2010</v>
      </c>
      <c r="B32" s="3" t="s">
        <v>67</v>
      </c>
      <c r="C32" s="4">
        <v>155.32</v>
      </c>
      <c r="D32" s="4">
        <v>124.28</v>
      </c>
      <c r="E32" s="4">
        <v>93.19</v>
      </c>
      <c r="F32" s="4">
        <v>74.489999999999995</v>
      </c>
      <c r="G32" s="4">
        <v>62.12</v>
      </c>
      <c r="H32" s="4">
        <v>49.71</v>
      </c>
      <c r="I32" s="4">
        <v>43.42</v>
      </c>
      <c r="J32" s="4">
        <v>37.24</v>
      </c>
      <c r="K32" s="4">
        <v>31.02</v>
      </c>
      <c r="L32" s="4">
        <v>0</v>
      </c>
      <c r="M32" s="4">
        <v>24.73</v>
      </c>
      <c r="N32" s="4">
        <v>18.61</v>
      </c>
      <c r="O32" s="4">
        <v>0</v>
      </c>
      <c r="P32" s="4">
        <v>0</v>
      </c>
      <c r="Q32" s="4">
        <v>12.44</v>
      </c>
      <c r="R32" s="4">
        <v>6.18</v>
      </c>
      <c r="S32" s="4">
        <v>24.92</v>
      </c>
      <c r="T32" s="4">
        <v>17.239999999999998</v>
      </c>
      <c r="U32" s="4">
        <v>15.34</v>
      </c>
      <c r="V32" s="4">
        <v>25.46</v>
      </c>
      <c r="W32" s="4">
        <v>48.01</v>
      </c>
      <c r="X32" s="4">
        <v>101.39</v>
      </c>
      <c r="Y32" s="4">
        <v>159.76</v>
      </c>
      <c r="Z32" s="4">
        <v>222.81</v>
      </c>
      <c r="AA32" s="4">
        <v>287.51</v>
      </c>
      <c r="AB32" s="4">
        <v>382.8</v>
      </c>
      <c r="AC32" s="4">
        <v>63.01</v>
      </c>
      <c r="AD32" s="4">
        <v>95.25</v>
      </c>
      <c r="AE32" s="4">
        <v>190.51</v>
      </c>
      <c r="AF32" s="4">
        <v>255.24</v>
      </c>
      <c r="AG32" s="4">
        <v>352.11</v>
      </c>
      <c r="AH32" s="4">
        <v>414.8</v>
      </c>
      <c r="AI32" s="4">
        <v>48.01</v>
      </c>
      <c r="AJ32" s="4">
        <v>101.39</v>
      </c>
      <c r="AK32" s="4">
        <v>159.76</v>
      </c>
      <c r="AL32" s="4">
        <v>222.81</v>
      </c>
      <c r="AM32" s="4">
        <v>287.51</v>
      </c>
      <c r="AN32" s="4">
        <v>382.8</v>
      </c>
      <c r="AO32" s="4"/>
      <c r="AP32" s="4"/>
      <c r="AQ32" s="18"/>
    </row>
    <row r="33" spans="1:43" x14ac:dyDescent="0.2">
      <c r="A33" s="6">
        <v>2011</v>
      </c>
      <c r="B33" s="3" t="s">
        <v>68</v>
      </c>
      <c r="C33" s="4">
        <v>168.49</v>
      </c>
      <c r="D33" s="4">
        <v>134.81</v>
      </c>
      <c r="E33" s="4">
        <v>101.09</v>
      </c>
      <c r="F33" s="4">
        <v>80.8</v>
      </c>
      <c r="G33" s="4">
        <v>67.38</v>
      </c>
      <c r="H33" s="4">
        <v>53.92</v>
      </c>
      <c r="I33" s="4">
        <v>47.1</v>
      </c>
      <c r="J33" s="4">
        <v>40.39</v>
      </c>
      <c r="K33" s="4">
        <v>33.65</v>
      </c>
      <c r="L33" s="4">
        <v>0</v>
      </c>
      <c r="M33" s="4">
        <v>26.82</v>
      </c>
      <c r="N33" s="4">
        <v>20.18</v>
      </c>
      <c r="O33" s="4">
        <v>0</v>
      </c>
      <c r="P33" s="4">
        <v>0</v>
      </c>
      <c r="Q33" s="4">
        <v>13.49</v>
      </c>
      <c r="R33" s="4">
        <v>6.7</v>
      </c>
      <c r="S33" s="4">
        <v>27.03</v>
      </c>
      <c r="T33" s="4">
        <v>18.7</v>
      </c>
      <c r="U33" s="4">
        <v>16.64</v>
      </c>
      <c r="V33" s="4">
        <v>27.61</v>
      </c>
      <c r="W33" s="4">
        <v>52.08</v>
      </c>
      <c r="X33" s="4">
        <v>109.98</v>
      </c>
      <c r="Y33" s="4">
        <v>173.3</v>
      </c>
      <c r="Z33" s="4">
        <v>241.7</v>
      </c>
      <c r="AA33" s="4">
        <v>311.89</v>
      </c>
      <c r="AB33" s="4">
        <v>415.26</v>
      </c>
      <c r="AC33" s="4">
        <v>68.349999999999994</v>
      </c>
      <c r="AD33" s="4">
        <v>103.32</v>
      </c>
      <c r="AE33" s="4">
        <v>206.66</v>
      </c>
      <c r="AF33" s="4">
        <v>276.88</v>
      </c>
      <c r="AG33" s="4">
        <v>381.96</v>
      </c>
      <c r="AH33" s="4">
        <v>449.97</v>
      </c>
      <c r="AI33" s="4">
        <v>52.08</v>
      </c>
      <c r="AJ33" s="4">
        <v>109.98</v>
      </c>
      <c r="AK33" s="4">
        <v>173.3</v>
      </c>
      <c r="AL33" s="4">
        <v>241.7</v>
      </c>
      <c r="AM33" s="4">
        <v>311.89</v>
      </c>
      <c r="AN33" s="4">
        <v>415.26</v>
      </c>
      <c r="AO33" s="4"/>
      <c r="AP33" s="4"/>
      <c r="AQ33" s="19"/>
    </row>
    <row r="34" spans="1:43" x14ac:dyDescent="0.2">
      <c r="A34" s="6">
        <v>2012</v>
      </c>
      <c r="B34" s="1" t="s">
        <v>3</v>
      </c>
      <c r="C34" s="5">
        <v>180.11</v>
      </c>
      <c r="D34" s="5">
        <v>144.11000000000001</v>
      </c>
      <c r="E34" s="5">
        <v>108.06</v>
      </c>
      <c r="F34" s="5">
        <v>86.37</v>
      </c>
      <c r="G34" s="5">
        <v>72.02</v>
      </c>
      <c r="H34" s="5">
        <v>57.64</v>
      </c>
      <c r="I34" s="5">
        <v>50.34</v>
      </c>
      <c r="J34" s="5">
        <v>43.17</v>
      </c>
      <c r="K34" s="5">
        <v>35.97</v>
      </c>
      <c r="L34" s="5">
        <v>0</v>
      </c>
      <c r="M34" s="5">
        <v>28.67</v>
      </c>
      <c r="N34" s="5">
        <v>21.57</v>
      </c>
      <c r="O34" s="5">
        <v>0</v>
      </c>
      <c r="P34" s="5">
        <v>0</v>
      </c>
      <c r="Q34" s="5">
        <v>14.42</v>
      </c>
      <c r="R34" s="5">
        <v>7.16</v>
      </c>
      <c r="S34" s="5">
        <v>28.89</v>
      </c>
      <c r="T34" s="5">
        <v>19.989999999999998</v>
      </c>
      <c r="U34" s="5">
        <v>17.78</v>
      </c>
      <c r="V34" s="5">
        <v>29.51</v>
      </c>
      <c r="W34" s="5">
        <v>55.67</v>
      </c>
      <c r="X34" s="5">
        <v>117.56</v>
      </c>
      <c r="Y34" s="5">
        <v>185.25</v>
      </c>
      <c r="Z34" s="5">
        <v>258.37</v>
      </c>
      <c r="AA34" s="5">
        <v>333.41</v>
      </c>
      <c r="AB34" s="5">
        <v>443.91</v>
      </c>
      <c r="AC34" s="5">
        <v>73.06</v>
      </c>
      <c r="AD34" s="5">
        <v>110.44</v>
      </c>
      <c r="AE34" s="5">
        <v>220.91</v>
      </c>
      <c r="AF34" s="5">
        <v>295.98</v>
      </c>
      <c r="AG34" s="5">
        <v>408.31</v>
      </c>
      <c r="AH34" s="5">
        <v>481.01</v>
      </c>
      <c r="AI34" s="5">
        <v>55.67</v>
      </c>
      <c r="AJ34" s="5">
        <v>117.56</v>
      </c>
      <c r="AK34" s="5">
        <v>185.25</v>
      </c>
      <c r="AL34" s="5">
        <v>258.37</v>
      </c>
      <c r="AM34" s="5">
        <v>333.41</v>
      </c>
      <c r="AN34" s="5">
        <v>443.91</v>
      </c>
      <c r="AO34" s="5">
        <v>1.58</v>
      </c>
      <c r="AP34" s="5">
        <v>71.53</v>
      </c>
      <c r="AQ34" s="19"/>
    </row>
    <row r="35" spans="1:43" x14ac:dyDescent="0.2">
      <c r="A35" s="6">
        <v>2013</v>
      </c>
      <c r="B35" s="1" t="s">
        <v>4</v>
      </c>
      <c r="C35" s="5">
        <v>189.88</v>
      </c>
      <c r="D35" s="5">
        <v>151.91999999999999</v>
      </c>
      <c r="E35" s="5">
        <v>113.92</v>
      </c>
      <c r="F35" s="5">
        <v>91.06</v>
      </c>
      <c r="G35" s="5">
        <v>75.930000000000007</v>
      </c>
      <c r="H35" s="5">
        <v>60.77</v>
      </c>
      <c r="I35" s="5">
        <v>53.07</v>
      </c>
      <c r="J35" s="5">
        <v>45.51</v>
      </c>
      <c r="K35" s="5">
        <v>37.92</v>
      </c>
      <c r="L35" s="5">
        <v>0</v>
      </c>
      <c r="M35" s="5">
        <v>30.23</v>
      </c>
      <c r="N35" s="5">
        <v>22.74</v>
      </c>
      <c r="O35" s="5">
        <v>0</v>
      </c>
      <c r="P35" s="5">
        <v>0</v>
      </c>
      <c r="Q35" s="5">
        <v>15.21</v>
      </c>
      <c r="R35" s="5">
        <v>7.55</v>
      </c>
      <c r="S35" s="5">
        <v>30.46</v>
      </c>
      <c r="T35" s="5">
        <v>21.08</v>
      </c>
      <c r="U35" s="5">
        <v>18.75</v>
      </c>
      <c r="V35" s="5">
        <v>31.11</v>
      </c>
      <c r="W35" s="5">
        <v>58.69</v>
      </c>
      <c r="X35" s="5">
        <v>123.94</v>
      </c>
      <c r="Y35" s="5">
        <v>195.29</v>
      </c>
      <c r="Z35" s="5">
        <v>272.38</v>
      </c>
      <c r="AA35" s="5">
        <v>351.48</v>
      </c>
      <c r="AB35" s="5">
        <v>467.97</v>
      </c>
      <c r="AC35" s="5">
        <v>77.02</v>
      </c>
      <c r="AD35" s="5">
        <v>116.43</v>
      </c>
      <c r="AE35" s="5">
        <v>232.89</v>
      </c>
      <c r="AF35" s="5">
        <v>312.02999999999997</v>
      </c>
      <c r="AG35" s="5">
        <v>430.44</v>
      </c>
      <c r="AH35" s="5">
        <v>507.08</v>
      </c>
      <c r="AI35" s="5">
        <v>58.69</v>
      </c>
      <c r="AJ35" s="5">
        <v>123.94</v>
      </c>
      <c r="AK35" s="5">
        <v>195.29</v>
      </c>
      <c r="AL35" s="5">
        <v>272.38</v>
      </c>
      <c r="AM35" s="5">
        <v>351.48</v>
      </c>
      <c r="AN35" s="5">
        <v>467.97</v>
      </c>
      <c r="AO35" s="5">
        <v>1.67</v>
      </c>
      <c r="AP35" s="5">
        <v>75.41</v>
      </c>
      <c r="AQ35" s="19"/>
    </row>
    <row r="36" spans="1:43" x14ac:dyDescent="0.2">
      <c r="A36" s="6">
        <v>2014</v>
      </c>
      <c r="B36" s="1" t="s">
        <v>5</v>
      </c>
      <c r="C36" s="5">
        <v>200.96</v>
      </c>
      <c r="D36" s="5">
        <v>160.79</v>
      </c>
      <c r="E36" s="5">
        <v>120.55</v>
      </c>
      <c r="F36" s="5">
        <v>96.38</v>
      </c>
      <c r="G36" s="5">
        <v>80.36</v>
      </c>
      <c r="H36" s="5">
        <v>64.319999999999993</v>
      </c>
      <c r="I36" s="5">
        <v>56.17</v>
      </c>
      <c r="J36" s="5">
        <v>48.17</v>
      </c>
      <c r="K36" s="5">
        <v>40.130000000000003</v>
      </c>
      <c r="L36" s="5">
        <v>0</v>
      </c>
      <c r="M36" s="5">
        <v>31.99</v>
      </c>
      <c r="N36" s="5">
        <v>24.07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62.12</v>
      </c>
      <c r="X36" s="5">
        <v>131.16999999999999</v>
      </c>
      <c r="Y36" s="5">
        <v>206.69</v>
      </c>
      <c r="Z36" s="5">
        <v>288.27999999999997</v>
      </c>
      <c r="AA36" s="5">
        <v>372</v>
      </c>
      <c r="AB36" s="5">
        <v>495.29</v>
      </c>
      <c r="AC36" s="5">
        <v>81.52</v>
      </c>
      <c r="AD36" s="5">
        <v>123.23</v>
      </c>
      <c r="AE36" s="5">
        <v>246.48</v>
      </c>
      <c r="AF36" s="5">
        <v>330.24</v>
      </c>
      <c r="AG36" s="5">
        <v>455.57</v>
      </c>
      <c r="AH36" s="5">
        <v>536.67999999999995</v>
      </c>
      <c r="AI36" s="5">
        <v>62.12</v>
      </c>
      <c r="AJ36" s="5">
        <v>131.16999999999999</v>
      </c>
      <c r="AK36" s="5">
        <v>206.69</v>
      </c>
      <c r="AL36" s="5">
        <v>288.27999999999997</v>
      </c>
      <c r="AM36" s="5">
        <v>372</v>
      </c>
      <c r="AN36" s="5">
        <v>495.29</v>
      </c>
      <c r="AO36" s="5">
        <v>1.77</v>
      </c>
      <c r="AP36" s="5">
        <v>79.81</v>
      </c>
      <c r="AQ36" s="19"/>
    </row>
    <row r="37" spans="1:43" x14ac:dyDescent="0.2">
      <c r="A37" s="6">
        <v>2015</v>
      </c>
      <c r="B37" s="1" t="s">
        <v>6</v>
      </c>
      <c r="C37" s="5">
        <v>214.13</v>
      </c>
      <c r="D37" s="5">
        <v>171.32</v>
      </c>
      <c r="E37" s="5">
        <v>128.44999999999999</v>
      </c>
      <c r="F37" s="5">
        <v>102.69</v>
      </c>
      <c r="G37" s="5">
        <v>85.63</v>
      </c>
      <c r="H37" s="5">
        <v>68.53</v>
      </c>
      <c r="I37" s="5">
        <v>59.85</v>
      </c>
      <c r="J37" s="5">
        <v>51.32</v>
      </c>
      <c r="K37" s="5">
        <v>42.76</v>
      </c>
      <c r="L37" s="5">
        <v>0</v>
      </c>
      <c r="M37" s="5">
        <v>34.090000000000003</v>
      </c>
      <c r="N37" s="5">
        <v>28.24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95.9</v>
      </c>
      <c r="X37" s="5">
        <v>213.11</v>
      </c>
      <c r="Y37" s="5">
        <v>0</v>
      </c>
      <c r="Z37" s="5">
        <v>383.6</v>
      </c>
      <c r="AA37" s="5">
        <v>532.78</v>
      </c>
      <c r="AB37" s="5">
        <v>745.89</v>
      </c>
      <c r="AC37" s="5">
        <v>0</v>
      </c>
      <c r="AD37" s="5">
        <v>159.83000000000001</v>
      </c>
      <c r="AE37" s="5">
        <v>0</v>
      </c>
      <c r="AF37" s="5">
        <v>351.63</v>
      </c>
      <c r="AG37" s="5">
        <v>490.15</v>
      </c>
      <c r="AH37" s="5">
        <v>0</v>
      </c>
      <c r="AI37" s="5">
        <v>0</v>
      </c>
      <c r="AJ37" s="5">
        <v>143.85</v>
      </c>
      <c r="AK37" s="5">
        <v>0</v>
      </c>
      <c r="AL37" s="5">
        <v>309.01</v>
      </c>
      <c r="AM37" s="5">
        <v>404.91</v>
      </c>
      <c r="AN37" s="5">
        <v>0</v>
      </c>
      <c r="AO37" s="5">
        <v>1.88</v>
      </c>
      <c r="AP37" s="5">
        <v>85.04</v>
      </c>
      <c r="AQ37" s="19"/>
    </row>
    <row r="38" spans="1:43" x14ac:dyDescent="0.2">
      <c r="A38" s="6">
        <v>2016</v>
      </c>
      <c r="B38" s="1" t="s">
        <v>7</v>
      </c>
      <c r="C38" s="5">
        <v>237.01</v>
      </c>
      <c r="D38" s="5">
        <v>189.63</v>
      </c>
      <c r="E38" s="5">
        <v>142.18</v>
      </c>
      <c r="F38" s="5">
        <v>113.66</v>
      </c>
      <c r="G38" s="5">
        <v>94.78</v>
      </c>
      <c r="H38" s="5">
        <v>75.849999999999994</v>
      </c>
      <c r="I38" s="5">
        <v>66.25</v>
      </c>
      <c r="J38" s="5">
        <v>56.8</v>
      </c>
      <c r="K38" s="5">
        <v>47.33</v>
      </c>
      <c r="L38" s="5">
        <v>0</v>
      </c>
      <c r="M38" s="5">
        <v>37.729999999999997</v>
      </c>
      <c r="N38" s="5">
        <v>34.03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106.15</v>
      </c>
      <c r="X38" s="5">
        <v>235.89</v>
      </c>
      <c r="Y38" s="5">
        <v>0</v>
      </c>
      <c r="Z38" s="5">
        <v>424.6</v>
      </c>
      <c r="AA38" s="5">
        <v>589.72</v>
      </c>
      <c r="AB38" s="5">
        <v>825.61</v>
      </c>
      <c r="AC38" s="5">
        <v>0</v>
      </c>
      <c r="AD38" s="5">
        <v>176.91</v>
      </c>
      <c r="AE38" s="5">
        <v>0</v>
      </c>
      <c r="AF38" s="5">
        <v>389.21</v>
      </c>
      <c r="AG38" s="5">
        <v>542.53</v>
      </c>
      <c r="AH38" s="5">
        <v>0</v>
      </c>
      <c r="AI38" s="5">
        <v>0</v>
      </c>
      <c r="AJ38" s="5">
        <v>159.22</v>
      </c>
      <c r="AK38" s="5">
        <v>0</v>
      </c>
      <c r="AL38" s="5">
        <v>342.03</v>
      </c>
      <c r="AM38" s="5">
        <v>448.18</v>
      </c>
      <c r="AN38" s="5">
        <v>0</v>
      </c>
      <c r="AO38" s="5">
        <v>2.08</v>
      </c>
      <c r="AP38" s="5">
        <v>94.13</v>
      </c>
      <c r="AQ38" s="19">
        <v>2.1800000000000002</v>
      </c>
    </row>
    <row r="39" spans="1:43" x14ac:dyDescent="0.2">
      <c r="A39" s="6">
        <v>2017</v>
      </c>
      <c r="B39" s="1" t="s">
        <v>0</v>
      </c>
      <c r="C39" s="5">
        <v>253.93</v>
      </c>
      <c r="D39" s="5">
        <v>203.16</v>
      </c>
      <c r="E39" s="5">
        <v>152.33000000000001</v>
      </c>
      <c r="F39" s="5">
        <v>121.77</v>
      </c>
      <c r="G39" s="5">
        <v>101.54</v>
      </c>
      <c r="H39" s="5">
        <v>81.260000000000005</v>
      </c>
      <c r="I39" s="5">
        <v>70.98</v>
      </c>
      <c r="J39" s="5">
        <v>60.85</v>
      </c>
      <c r="K39" s="5">
        <v>50.71</v>
      </c>
      <c r="L39" s="5">
        <v>0</v>
      </c>
      <c r="M39" s="5">
        <v>40.42</v>
      </c>
      <c r="N39" s="5">
        <v>39.53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113.73</v>
      </c>
      <c r="X39" s="5">
        <v>252.73</v>
      </c>
      <c r="Y39" s="5">
        <v>0</v>
      </c>
      <c r="Z39" s="5">
        <v>454.91</v>
      </c>
      <c r="AA39" s="5">
        <v>631.80999999999995</v>
      </c>
      <c r="AB39" s="5">
        <v>884.54</v>
      </c>
      <c r="AC39" s="5">
        <v>0</v>
      </c>
      <c r="AD39" s="5">
        <v>189.54</v>
      </c>
      <c r="AE39" s="5">
        <v>0</v>
      </c>
      <c r="AF39" s="5">
        <v>416.99</v>
      </c>
      <c r="AG39" s="5">
        <v>581.25</v>
      </c>
      <c r="AH39" s="5">
        <v>0</v>
      </c>
      <c r="AI39" s="5">
        <v>0</v>
      </c>
      <c r="AJ39" s="5">
        <v>170.58</v>
      </c>
      <c r="AK39" s="5">
        <v>0</v>
      </c>
      <c r="AL39" s="5">
        <v>366.44</v>
      </c>
      <c r="AM39" s="5">
        <v>480.17</v>
      </c>
      <c r="AN39" s="5">
        <v>0</v>
      </c>
      <c r="AO39" s="5">
        <v>2.23</v>
      </c>
      <c r="AP39" s="5">
        <v>100.85</v>
      </c>
      <c r="AQ39" s="19">
        <v>2.34</v>
      </c>
    </row>
    <row r="40" spans="1:43" x14ac:dyDescent="0.2">
      <c r="A40" s="10">
        <v>2018</v>
      </c>
      <c r="B40" s="1" t="s">
        <v>69</v>
      </c>
      <c r="C40" s="11">
        <v>260.32</v>
      </c>
      <c r="D40" s="11">
        <v>208.27</v>
      </c>
      <c r="E40" s="11">
        <v>156.16</v>
      </c>
      <c r="F40" s="11">
        <v>124.83</v>
      </c>
      <c r="G40" s="11">
        <v>104.1</v>
      </c>
      <c r="H40" s="11">
        <v>83.31</v>
      </c>
      <c r="I40" s="11">
        <v>72.77</v>
      </c>
      <c r="J40" s="11">
        <v>62.38</v>
      </c>
      <c r="K40" s="11">
        <v>51.99</v>
      </c>
      <c r="L40" s="11">
        <v>0</v>
      </c>
      <c r="M40" s="11">
        <v>43.09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116.59</v>
      </c>
      <c r="X40" s="11">
        <v>259.08999999999997</v>
      </c>
      <c r="Y40" s="11">
        <v>0</v>
      </c>
      <c r="Z40" s="11">
        <v>466.36</v>
      </c>
      <c r="AA40" s="11">
        <v>647.71</v>
      </c>
      <c r="AB40" s="11">
        <v>906.8</v>
      </c>
      <c r="AC40" s="11">
        <v>0</v>
      </c>
      <c r="AD40" s="11">
        <v>194.31</v>
      </c>
      <c r="AE40" s="11">
        <v>0</v>
      </c>
      <c r="AF40" s="11">
        <v>427.48</v>
      </c>
      <c r="AG40" s="11">
        <v>595.88</v>
      </c>
      <c r="AH40" s="11">
        <v>0</v>
      </c>
      <c r="AI40" s="11">
        <v>0</v>
      </c>
      <c r="AJ40" s="11">
        <v>174.87</v>
      </c>
      <c r="AK40" s="11">
        <v>0</v>
      </c>
      <c r="AL40" s="11">
        <v>375.66</v>
      </c>
      <c r="AM40" s="11">
        <v>492.25</v>
      </c>
      <c r="AN40" s="11">
        <v>0</v>
      </c>
      <c r="AO40" s="11">
        <v>2.29</v>
      </c>
      <c r="AP40" s="11">
        <v>103.39</v>
      </c>
      <c r="AQ40" s="19">
        <v>2.4</v>
      </c>
    </row>
    <row r="41" spans="1:43" x14ac:dyDescent="0.2">
      <c r="A41" s="12">
        <v>2019</v>
      </c>
      <c r="B41" s="15" t="s">
        <v>72</v>
      </c>
      <c r="C41" s="16">
        <v>270.08</v>
      </c>
      <c r="D41" s="16">
        <v>216.08</v>
      </c>
      <c r="E41" s="16">
        <v>162.02000000000001</v>
      </c>
      <c r="F41" s="16">
        <v>129.52000000000001</v>
      </c>
      <c r="G41" s="16">
        <v>108</v>
      </c>
      <c r="H41" s="16">
        <v>86.43</v>
      </c>
      <c r="I41" s="16">
        <v>75.5</v>
      </c>
      <c r="J41" s="16">
        <v>64.72</v>
      </c>
      <c r="K41" s="16">
        <v>53.94</v>
      </c>
      <c r="L41" s="16">
        <v>0</v>
      </c>
      <c r="M41" s="16">
        <v>47.3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120.96</v>
      </c>
      <c r="X41" s="16">
        <v>268.81</v>
      </c>
      <c r="Y41" s="16">
        <v>0</v>
      </c>
      <c r="Z41" s="16">
        <v>483.85</v>
      </c>
      <c r="AA41" s="16">
        <v>672</v>
      </c>
      <c r="AB41" s="16">
        <v>940.81</v>
      </c>
      <c r="AC41" s="16">
        <v>0</v>
      </c>
      <c r="AD41" s="16">
        <v>201.6</v>
      </c>
      <c r="AE41" s="16">
        <v>0</v>
      </c>
      <c r="AF41" s="16">
        <v>443.52</v>
      </c>
      <c r="AG41" s="16">
        <v>618.22</v>
      </c>
      <c r="AH41" s="16">
        <v>0</v>
      </c>
      <c r="AI41" s="16">
        <v>0</v>
      </c>
      <c r="AJ41" s="16">
        <v>181.43</v>
      </c>
      <c r="AK41" s="16">
        <v>0</v>
      </c>
      <c r="AL41" s="16">
        <v>389.75</v>
      </c>
      <c r="AM41" s="16">
        <v>510.71</v>
      </c>
      <c r="AN41" s="16">
        <v>0</v>
      </c>
      <c r="AO41" s="16">
        <v>2.38</v>
      </c>
      <c r="AP41" s="16">
        <v>107.27</v>
      </c>
      <c r="AQ41" s="19">
        <v>2.4900000000000002</v>
      </c>
    </row>
    <row r="42" spans="1:43" x14ac:dyDescent="0.2">
      <c r="A42" s="12">
        <v>2020</v>
      </c>
      <c r="B42" s="1" t="s">
        <v>74</v>
      </c>
      <c r="C42" s="16">
        <v>281.72000000000003</v>
      </c>
      <c r="D42" s="16">
        <v>225.4</v>
      </c>
      <c r="E42" s="16">
        <v>169</v>
      </c>
      <c r="F42" s="16">
        <v>135.1</v>
      </c>
      <c r="G42" s="16">
        <v>112.65</v>
      </c>
      <c r="H42" s="16">
        <v>90.15</v>
      </c>
      <c r="I42" s="16">
        <v>78.75</v>
      </c>
      <c r="J42" s="16">
        <v>67.510000000000005</v>
      </c>
      <c r="K42" s="16">
        <v>56.26</v>
      </c>
      <c r="L42" s="16">
        <v>0</v>
      </c>
      <c r="M42" s="16">
        <v>51.95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126.18</v>
      </c>
      <c r="X42" s="16">
        <v>280.39</v>
      </c>
      <c r="Y42" s="16">
        <v>0</v>
      </c>
      <c r="Z42" s="16">
        <v>504.7</v>
      </c>
      <c r="AA42" s="16">
        <v>700.96</v>
      </c>
      <c r="AB42" s="16">
        <v>981.36</v>
      </c>
      <c r="AC42" s="16">
        <v>0</v>
      </c>
      <c r="AD42" s="16">
        <v>210.29</v>
      </c>
      <c r="AE42" s="16">
        <v>0</v>
      </c>
      <c r="AF42" s="16">
        <v>462.63</v>
      </c>
      <c r="AG42" s="16">
        <v>644.87</v>
      </c>
      <c r="AH42" s="16">
        <v>0</v>
      </c>
      <c r="AI42" s="16">
        <v>0</v>
      </c>
      <c r="AJ42" s="16">
        <v>189.25</v>
      </c>
      <c r="AK42" s="16">
        <v>0</v>
      </c>
      <c r="AL42" s="16">
        <v>406.55</v>
      </c>
      <c r="AM42" s="16">
        <v>532.73</v>
      </c>
      <c r="AN42" s="16">
        <v>0</v>
      </c>
      <c r="AO42" s="16">
        <v>2.48</v>
      </c>
      <c r="AP42" s="16">
        <v>111.89</v>
      </c>
      <c r="AQ42" s="19">
        <v>2.6</v>
      </c>
    </row>
    <row r="43" spans="1:43" x14ac:dyDescent="0.2">
      <c r="A43" s="21">
        <v>2021</v>
      </c>
      <c r="B43" s="1" t="s">
        <v>76</v>
      </c>
      <c r="C43" s="19">
        <v>294.45</v>
      </c>
      <c r="D43" s="19">
        <v>235.59</v>
      </c>
      <c r="E43" s="19">
        <v>176.64</v>
      </c>
      <c r="F43" s="19">
        <v>141.21</v>
      </c>
      <c r="G43" s="19">
        <v>117.74</v>
      </c>
      <c r="H43" s="19">
        <v>94.22</v>
      </c>
      <c r="I43" s="19">
        <v>82.31</v>
      </c>
      <c r="J43" s="19">
        <v>70.56</v>
      </c>
      <c r="K43" s="19">
        <v>58.8</v>
      </c>
      <c r="L43" s="19">
        <v>0</v>
      </c>
      <c r="M43" s="19">
        <v>56.91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131.88</v>
      </c>
      <c r="X43" s="19">
        <v>293.07</v>
      </c>
      <c r="Y43" s="19">
        <v>0</v>
      </c>
      <c r="Z43" s="19">
        <v>527.51</v>
      </c>
      <c r="AA43" s="19">
        <v>732.64</v>
      </c>
      <c r="AB43" s="19">
        <v>1025.74</v>
      </c>
      <c r="AC43" s="19">
        <v>0</v>
      </c>
      <c r="AD43" s="19">
        <v>219.8</v>
      </c>
      <c r="AE43" s="19">
        <v>0</v>
      </c>
      <c r="AF43" s="19">
        <v>483.55</v>
      </c>
      <c r="AG43" s="19">
        <v>674.02</v>
      </c>
      <c r="AH43" s="19">
        <v>0</v>
      </c>
      <c r="AI43" s="19">
        <v>0</v>
      </c>
      <c r="AJ43" s="19">
        <v>197.8</v>
      </c>
      <c r="AK43" s="19">
        <v>0</v>
      </c>
      <c r="AL43" s="19">
        <v>424.93</v>
      </c>
      <c r="AM43" s="19">
        <v>556.79999999999995</v>
      </c>
      <c r="AN43" s="19">
        <v>0</v>
      </c>
      <c r="AO43" s="19">
        <v>2.59</v>
      </c>
      <c r="AP43" s="19">
        <v>116.95</v>
      </c>
      <c r="AQ43" s="19">
        <v>2.72</v>
      </c>
    </row>
    <row r="44" spans="1:43" x14ac:dyDescent="0.2">
      <c r="A44" s="21">
        <v>2022</v>
      </c>
      <c r="B44" s="1" t="s">
        <v>77</v>
      </c>
      <c r="C44" s="19">
        <v>294.45</v>
      </c>
      <c r="D44" s="19">
        <v>235.59</v>
      </c>
      <c r="E44" s="19">
        <v>176.64</v>
      </c>
      <c r="F44" s="19">
        <v>141.21</v>
      </c>
      <c r="G44" s="19">
        <v>117.74</v>
      </c>
      <c r="H44" s="19">
        <v>94.22</v>
      </c>
      <c r="I44" s="19">
        <v>82.31</v>
      </c>
      <c r="J44" s="19">
        <v>70.56</v>
      </c>
      <c r="K44" s="19">
        <v>58.8</v>
      </c>
      <c r="L44" s="19">
        <v>0</v>
      </c>
      <c r="M44" s="19">
        <v>56.91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131.88</v>
      </c>
      <c r="X44" s="19">
        <v>293.07</v>
      </c>
      <c r="Y44" s="19">
        <v>0</v>
      </c>
      <c r="Z44" s="19">
        <v>527.51</v>
      </c>
      <c r="AA44" s="19">
        <v>732.64</v>
      </c>
      <c r="AB44" s="19">
        <v>1025.74</v>
      </c>
      <c r="AC44" s="19">
        <v>0</v>
      </c>
      <c r="AD44" s="19">
        <v>219.8</v>
      </c>
      <c r="AE44" s="19">
        <v>0</v>
      </c>
      <c r="AF44" s="19">
        <v>483.55</v>
      </c>
      <c r="AG44" s="19">
        <v>674.02</v>
      </c>
      <c r="AH44" s="19">
        <v>0</v>
      </c>
      <c r="AI44" s="19">
        <v>0</v>
      </c>
      <c r="AJ44" s="19">
        <v>197.8</v>
      </c>
      <c r="AK44" s="19">
        <v>0</v>
      </c>
      <c r="AL44" s="19">
        <v>424.93</v>
      </c>
      <c r="AM44" s="19">
        <v>556.79999999999995</v>
      </c>
      <c r="AN44" s="19">
        <v>0</v>
      </c>
      <c r="AO44" s="19">
        <v>2.85</v>
      </c>
      <c r="AP44" s="19">
        <v>128.72</v>
      </c>
      <c r="AQ44" s="19">
        <v>2.99</v>
      </c>
    </row>
    <row r="45" spans="1:43" x14ac:dyDescent="0.2">
      <c r="A45" s="6">
        <v>2023</v>
      </c>
      <c r="B45" s="1" t="s">
        <v>87</v>
      </c>
      <c r="C45" s="5">
        <v>311.5</v>
      </c>
      <c r="D45" s="5">
        <v>249.22</v>
      </c>
      <c r="E45" s="5">
        <v>186.87</v>
      </c>
      <c r="F45" s="5">
        <v>149.38999999999999</v>
      </c>
      <c r="G45" s="5">
        <v>124.56</v>
      </c>
      <c r="H45" s="5">
        <v>99.7</v>
      </c>
      <c r="I45" s="5">
        <v>87.08</v>
      </c>
      <c r="J45" s="5">
        <v>74.650000000000006</v>
      </c>
      <c r="K45" s="5">
        <v>62.85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139.51</v>
      </c>
      <c r="X45" s="5">
        <v>310.04000000000002</v>
      </c>
      <c r="Y45" s="5">
        <v>0</v>
      </c>
      <c r="Z45" s="5">
        <v>558.04999999999995</v>
      </c>
      <c r="AA45" s="5">
        <v>775.06</v>
      </c>
      <c r="AB45" s="5">
        <v>1085.1300000000001</v>
      </c>
      <c r="AC45" s="5">
        <v>0</v>
      </c>
      <c r="AD45" s="5">
        <v>232.53</v>
      </c>
      <c r="AE45" s="5">
        <v>0</v>
      </c>
      <c r="AF45" s="5">
        <v>511.55</v>
      </c>
      <c r="AG45" s="5">
        <v>713.05</v>
      </c>
      <c r="AH45" s="5">
        <v>0</v>
      </c>
      <c r="AI45" s="5">
        <v>0</v>
      </c>
      <c r="AJ45" s="5">
        <v>209.25</v>
      </c>
      <c r="AK45" s="5">
        <v>0</v>
      </c>
      <c r="AL45" s="5">
        <v>449.53</v>
      </c>
      <c r="AM45" s="5">
        <v>589.04</v>
      </c>
      <c r="AN45" s="5">
        <v>0</v>
      </c>
      <c r="AO45" s="5">
        <v>0</v>
      </c>
      <c r="AP45" s="5">
        <v>0</v>
      </c>
      <c r="AQ45" s="5">
        <v>2.88</v>
      </c>
    </row>
    <row r="46" spans="1:43" x14ac:dyDescent="0.2">
      <c r="A46" s="26">
        <v>2024</v>
      </c>
      <c r="B46" s="27" t="s">
        <v>88</v>
      </c>
      <c r="C46" s="28">
        <v>326.51</v>
      </c>
      <c r="D46" s="28">
        <v>261.23</v>
      </c>
      <c r="E46" s="28">
        <v>195.88</v>
      </c>
      <c r="F46" s="28">
        <v>156.59</v>
      </c>
      <c r="G46" s="28">
        <v>130.56</v>
      </c>
      <c r="H46" s="28">
        <v>104.51</v>
      </c>
      <c r="I46" s="28">
        <v>91.28</v>
      </c>
      <c r="J46" s="28">
        <v>78.25</v>
      </c>
      <c r="K46" s="28">
        <v>68.5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146.22999999999999</v>
      </c>
      <c r="X46" s="28">
        <v>324.98</v>
      </c>
      <c r="Y46" s="28">
        <v>0</v>
      </c>
      <c r="Z46" s="28">
        <v>584.95000000000005</v>
      </c>
      <c r="AA46" s="28">
        <v>812.42</v>
      </c>
      <c r="AB46" s="28">
        <v>1137.43</v>
      </c>
      <c r="AC46" s="28">
        <v>0</v>
      </c>
      <c r="AD46" s="28">
        <v>243.74</v>
      </c>
      <c r="AE46" s="28">
        <v>0</v>
      </c>
      <c r="AF46" s="28">
        <v>536.21</v>
      </c>
      <c r="AG46" s="28">
        <v>747.42</v>
      </c>
      <c r="AH46" s="28">
        <v>0</v>
      </c>
      <c r="AI46" s="28">
        <v>0</v>
      </c>
      <c r="AJ46" s="28">
        <v>219.34</v>
      </c>
      <c r="AK46" s="28">
        <v>0</v>
      </c>
      <c r="AL46" s="28">
        <v>471.2</v>
      </c>
      <c r="AM46" s="28">
        <v>617.42999999999995</v>
      </c>
      <c r="AN46" s="28">
        <v>0</v>
      </c>
      <c r="AO46" s="28">
        <v>0</v>
      </c>
      <c r="AP46" s="28">
        <v>0</v>
      </c>
      <c r="AQ46" s="28">
        <v>3.02</v>
      </c>
    </row>
    <row r="47" spans="1:43" x14ac:dyDescent="0.2">
      <c r="A47" s="34">
        <v>2025</v>
      </c>
      <c r="B47" s="35" t="s">
        <v>90</v>
      </c>
      <c r="C47" s="36">
        <v>342.41</v>
      </c>
      <c r="D47" s="36">
        <v>273.95</v>
      </c>
      <c r="E47" s="36">
        <v>205.42</v>
      </c>
      <c r="F47" s="36">
        <v>164.22</v>
      </c>
      <c r="G47" s="36">
        <v>136.91999999999999</v>
      </c>
      <c r="H47" s="36">
        <v>109.6</v>
      </c>
      <c r="I47" s="36">
        <v>95.73</v>
      </c>
      <c r="J47" s="36">
        <v>82.06</v>
      </c>
      <c r="K47" s="36">
        <v>74.459999999999994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153.35</v>
      </c>
      <c r="X47" s="36">
        <v>340.81</v>
      </c>
      <c r="Y47" s="36">
        <v>0</v>
      </c>
      <c r="Z47" s="36">
        <v>613.44000000000005</v>
      </c>
      <c r="AA47" s="36">
        <v>851.98</v>
      </c>
      <c r="AB47" s="36">
        <v>1192.82</v>
      </c>
      <c r="AC47" s="36">
        <v>0</v>
      </c>
      <c r="AD47" s="36">
        <v>255.61</v>
      </c>
      <c r="AE47" s="36">
        <v>0</v>
      </c>
      <c r="AF47" s="36">
        <v>562.32000000000005</v>
      </c>
      <c r="AG47" s="36">
        <v>783.82</v>
      </c>
      <c r="AH47" s="36">
        <v>0</v>
      </c>
      <c r="AI47" s="36">
        <v>0</v>
      </c>
      <c r="AJ47" s="36">
        <v>230.02</v>
      </c>
      <c r="AK47" s="36">
        <v>0</v>
      </c>
      <c r="AL47" s="36">
        <v>494.15</v>
      </c>
      <c r="AM47" s="36">
        <v>647.5</v>
      </c>
      <c r="AN47" s="36">
        <v>0</v>
      </c>
      <c r="AO47" s="36">
        <v>0</v>
      </c>
      <c r="AP47" s="36">
        <v>0</v>
      </c>
      <c r="AQ47" s="36">
        <v>3.17</v>
      </c>
    </row>
    <row r="48" spans="1:43" x14ac:dyDescent="0.2">
      <c r="A48" s="34">
        <v>2026</v>
      </c>
      <c r="B48" s="1" t="s">
        <v>91</v>
      </c>
      <c r="C48" s="5">
        <v>357.68</v>
      </c>
      <c r="D48" s="5">
        <v>286.17</v>
      </c>
      <c r="E48" s="5">
        <v>214.58</v>
      </c>
      <c r="F48" s="5">
        <v>171.54</v>
      </c>
      <c r="G48" s="5">
        <v>143.03</v>
      </c>
      <c r="H48" s="5">
        <v>114.49</v>
      </c>
      <c r="I48" s="5">
        <v>100</v>
      </c>
      <c r="J48" s="5">
        <v>85.72</v>
      </c>
      <c r="K48" s="5">
        <v>80.39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160.19</v>
      </c>
      <c r="X48" s="36">
        <v>356.01</v>
      </c>
      <c r="Y48" s="36">
        <v>0</v>
      </c>
      <c r="Z48" s="36">
        <v>640.79999999999995</v>
      </c>
      <c r="AA48" s="36">
        <v>889.98</v>
      </c>
      <c r="AB48" s="36">
        <v>1246.02</v>
      </c>
      <c r="AC48" s="36">
        <v>0</v>
      </c>
      <c r="AD48" s="36">
        <v>267.01</v>
      </c>
      <c r="AE48" s="36">
        <v>0</v>
      </c>
      <c r="AF48" s="36">
        <v>587.4</v>
      </c>
      <c r="AG48" s="36">
        <v>818.78</v>
      </c>
      <c r="AH48" s="36">
        <v>0</v>
      </c>
      <c r="AI48" s="36">
        <v>0</v>
      </c>
      <c r="AJ48" s="36">
        <v>240.28</v>
      </c>
      <c r="AK48" s="36">
        <v>0</v>
      </c>
      <c r="AL48" s="36">
        <v>516.19000000000005</v>
      </c>
      <c r="AM48" s="36">
        <v>676.38</v>
      </c>
      <c r="AN48" s="36">
        <v>0</v>
      </c>
      <c r="AO48" s="36">
        <v>0</v>
      </c>
      <c r="AP48" s="36">
        <v>0</v>
      </c>
      <c r="AQ48" s="36">
        <v>3.31</v>
      </c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C16" sqref="C16"/>
    </sheetView>
  </sheetViews>
  <sheetFormatPr defaultRowHeight="15" x14ac:dyDescent="0.25"/>
  <sheetData>
    <row r="1" spans="1:8" x14ac:dyDescent="0.25">
      <c r="A1" s="39" t="s">
        <v>49</v>
      </c>
      <c r="B1" s="39"/>
      <c r="C1" s="8"/>
      <c r="D1" s="39" t="s">
        <v>50</v>
      </c>
      <c r="E1" s="39"/>
      <c r="F1" s="8"/>
      <c r="G1" s="39" t="s">
        <v>51</v>
      </c>
      <c r="H1" s="39"/>
    </row>
    <row r="2" spans="1:8" x14ac:dyDescent="0.25">
      <c r="A2" s="9">
        <v>1</v>
      </c>
      <c r="B2" s="8" t="s">
        <v>43</v>
      </c>
      <c r="C2" s="8"/>
      <c r="D2" s="8">
        <v>1</v>
      </c>
      <c r="E2" s="8" t="s">
        <v>43</v>
      </c>
      <c r="F2" s="8"/>
      <c r="G2" s="8">
        <v>1</v>
      </c>
      <c r="H2" s="8" t="s">
        <v>44</v>
      </c>
    </row>
    <row r="3" spans="1:8" x14ac:dyDescent="0.25">
      <c r="A3" s="9">
        <v>36</v>
      </c>
      <c r="B3" s="8" t="s">
        <v>44</v>
      </c>
      <c r="C3" s="8"/>
      <c r="D3" s="8">
        <v>36</v>
      </c>
      <c r="E3" s="8" t="s">
        <v>44</v>
      </c>
      <c r="F3" s="8"/>
      <c r="G3" s="8">
        <v>46</v>
      </c>
      <c r="H3" s="8" t="s">
        <v>46</v>
      </c>
    </row>
    <row r="4" spans="1:8" x14ac:dyDescent="0.25">
      <c r="A4" s="9">
        <v>46</v>
      </c>
      <c r="B4" s="8" t="s">
        <v>45</v>
      </c>
      <c r="C4" s="8"/>
      <c r="D4" s="8">
        <v>46</v>
      </c>
      <c r="E4" s="8" t="s">
        <v>46</v>
      </c>
      <c r="F4" s="8"/>
      <c r="G4" s="8">
        <v>96</v>
      </c>
      <c r="H4" s="8" t="s">
        <v>47</v>
      </c>
    </row>
    <row r="5" spans="1:8" x14ac:dyDescent="0.25">
      <c r="A5" s="9">
        <v>66</v>
      </c>
      <c r="B5" s="8" t="s">
        <v>46</v>
      </c>
      <c r="C5" s="8"/>
      <c r="D5" s="8">
        <v>96</v>
      </c>
      <c r="E5" s="8" t="s">
        <v>47</v>
      </c>
      <c r="F5" s="8"/>
      <c r="G5" s="8"/>
      <c r="H5" s="8"/>
    </row>
    <row r="6" spans="1:8" x14ac:dyDescent="0.25">
      <c r="A6" s="9">
        <v>96</v>
      </c>
      <c r="B6" s="8" t="s">
        <v>47</v>
      </c>
      <c r="C6" s="8"/>
      <c r="D6" s="8">
        <v>141</v>
      </c>
      <c r="E6" s="8" t="s">
        <v>48</v>
      </c>
      <c r="F6" s="8"/>
      <c r="G6" s="8"/>
      <c r="H6" s="8"/>
    </row>
    <row r="7" spans="1:8" x14ac:dyDescent="0.25">
      <c r="A7" s="9">
        <v>141</v>
      </c>
      <c r="B7" s="8" t="s">
        <v>48</v>
      </c>
      <c r="C7" s="8"/>
      <c r="D7" s="8"/>
      <c r="E7" s="8"/>
      <c r="F7" s="8"/>
      <c r="G7" s="8"/>
      <c r="H7" s="8"/>
    </row>
  </sheetData>
  <sheetProtection algorithmName="SHA-512" hashValue="/J9OgaRf0AHzMPXPXb03rhMBylLZ9RDEOiXLG6JWwHPnjZGUKfGfRknYRcQku1GzlCckHaHVzqUXxwES1Kileg==" saltValue="39JpCp1ixww6E3JWCX5kXw==" spinCount="100000" sheet="1" selectLockedCells="1"/>
  <mergeCells count="3">
    <mergeCell ref="A1:B1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1" sqref="B21"/>
    </sheetView>
  </sheetViews>
  <sheetFormatPr defaultRowHeight="15" x14ac:dyDescent="0.25"/>
  <cols>
    <col min="1" max="1" width="25.140625" bestFit="1" customWidth="1"/>
    <col min="2" max="2" width="45.7109375" bestFit="1" customWidth="1"/>
  </cols>
  <sheetData>
    <row r="1" spans="1:2" x14ac:dyDescent="0.25">
      <c r="A1" t="s">
        <v>79</v>
      </c>
      <c r="B1" t="s">
        <v>80</v>
      </c>
    </row>
    <row r="2" spans="1:2" x14ac:dyDescent="0.25">
      <c r="A2" s="25" t="s">
        <v>81</v>
      </c>
      <c r="B2" s="25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86</v>
      </c>
      <c r="B4" t="s">
        <v>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A5" sqref="A5:I5"/>
    </sheetView>
  </sheetViews>
  <sheetFormatPr defaultRowHeight="15" x14ac:dyDescent="0.25"/>
  <sheetData>
    <row r="1" spans="1:9" x14ac:dyDescent="0.25">
      <c r="A1" s="40" t="s">
        <v>78</v>
      </c>
      <c r="B1" s="40"/>
      <c r="C1" s="40"/>
      <c r="D1" s="40"/>
      <c r="E1" s="40"/>
      <c r="F1" s="40"/>
      <c r="G1" s="40"/>
      <c r="H1" s="40"/>
      <c r="I1" s="40"/>
    </row>
    <row r="2" spans="1:9" x14ac:dyDescent="0.25">
      <c r="A2" s="17"/>
      <c r="B2" s="17"/>
      <c r="C2" s="17"/>
      <c r="D2" s="17"/>
      <c r="E2" s="17"/>
      <c r="F2" s="17"/>
      <c r="G2" s="17"/>
      <c r="H2" s="17"/>
      <c r="I2" s="17"/>
    </row>
    <row r="3" spans="1:9" x14ac:dyDescent="0.25">
      <c r="A3" s="41" t="s">
        <v>73</v>
      </c>
      <c r="B3" s="41"/>
      <c r="C3" s="41"/>
      <c r="D3" s="41"/>
      <c r="E3" s="41"/>
      <c r="F3" s="41"/>
      <c r="G3" s="41"/>
      <c r="H3" s="41"/>
      <c r="I3" s="41"/>
    </row>
    <row r="5" spans="1:9" x14ac:dyDescent="0.25">
      <c r="A5" s="40" t="s">
        <v>92</v>
      </c>
      <c r="B5" s="42"/>
      <c r="C5" s="42"/>
      <c r="D5" s="42"/>
      <c r="E5" s="42"/>
      <c r="F5" s="42"/>
      <c r="G5" s="42"/>
      <c r="H5" s="42"/>
      <c r="I5" s="42"/>
    </row>
  </sheetData>
  <sheetProtection algorithmName="SHA-512" hashValue="lIgT3Z4dXwdT1tSkrLuDpWiG/ELaT0EZqw+QGVlAMAflocEwK20uRl3WtIqQgqQfFOZcLM40mrJmK/Nk7sSh4A==" saltValue="ObTpSljlwEmm8YwASsBh+Q==" spinCount="100000" sheet="1" objects="1" scenarios="1"/>
  <mergeCells count="3">
    <mergeCell ref="A1:I1"/>
    <mergeCell ref="A3:I3"/>
    <mergeCell ref="A5:I5"/>
  </mergeCells>
  <hyperlinks>
    <hyperlink ref="A1" r:id="rId1"/>
    <hyperlink ref="A5" r:id="rId2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topLeftCell="O1" workbookViewId="0">
      <selection activeCell="B2" sqref="B2:AP3"/>
    </sheetView>
  </sheetViews>
  <sheetFormatPr defaultRowHeight="15" x14ac:dyDescent="0.25"/>
  <cols>
    <col min="1" max="10" width="11.140625" bestFit="1" customWidth="1"/>
    <col min="11" max="11" width="5.140625" bestFit="1" customWidth="1"/>
    <col min="12" max="13" width="9.5703125" bestFit="1" customWidth="1"/>
    <col min="14" max="21" width="5.140625" bestFit="1" customWidth="1"/>
    <col min="22" max="23" width="9.5703125" bestFit="1" customWidth="1"/>
    <col min="24" max="24" width="5.140625" bestFit="1" customWidth="1"/>
    <col min="25" max="27" width="10.5703125" bestFit="1" customWidth="1"/>
    <col min="28" max="28" width="5.140625" bestFit="1" customWidth="1"/>
    <col min="29" max="29" width="9.5703125" bestFit="1" customWidth="1"/>
    <col min="30" max="30" width="5.140625" bestFit="1" customWidth="1"/>
    <col min="31" max="32" width="10.5703125" bestFit="1" customWidth="1"/>
    <col min="33" max="34" width="5.140625" bestFit="1" customWidth="1"/>
    <col min="35" max="35" width="9.5703125" bestFit="1" customWidth="1"/>
    <col min="36" max="36" width="5.140625" bestFit="1" customWidth="1"/>
    <col min="37" max="38" width="10.5703125" bestFit="1" customWidth="1"/>
    <col min="39" max="39" width="5.140625" bestFit="1" customWidth="1"/>
    <col min="40" max="42" width="12" bestFit="1" customWidth="1"/>
  </cols>
  <sheetData>
    <row r="1" spans="1:42" x14ac:dyDescent="0.25">
      <c r="A1">
        <v>1977</v>
      </c>
      <c r="B1" s="37">
        <v>136.15199999999999</v>
      </c>
      <c r="C1" s="37">
        <v>108.93648</v>
      </c>
      <c r="D1" s="37">
        <v>81.67631999999999</v>
      </c>
      <c r="E1" s="37">
        <v>65.293440000000004</v>
      </c>
      <c r="F1" s="37">
        <v>54.445920000000001</v>
      </c>
      <c r="G1" s="37">
        <v>43.568640000000002</v>
      </c>
      <c r="H1" s="37">
        <v>38.063040000000001</v>
      </c>
      <c r="I1" s="37">
        <v>32.631839999999997</v>
      </c>
      <c r="J1" s="37">
        <v>27.185759999999998</v>
      </c>
      <c r="K1" s="37">
        <v>0</v>
      </c>
      <c r="L1" s="37">
        <v>21.680160000000001</v>
      </c>
      <c r="M1" s="37">
        <v>18.510719999999999</v>
      </c>
      <c r="N1" s="37">
        <v>0</v>
      </c>
      <c r="O1" s="37">
        <v>0</v>
      </c>
      <c r="P1" s="37">
        <v>0</v>
      </c>
      <c r="Q1" s="37">
        <v>0</v>
      </c>
      <c r="R1" s="37">
        <v>0</v>
      </c>
      <c r="S1" s="37">
        <v>0</v>
      </c>
      <c r="T1" s="37">
        <v>0</v>
      </c>
      <c r="U1" s="37">
        <v>0</v>
      </c>
      <c r="V1" s="37">
        <f>V2*$A$14</f>
        <v>62.922232040193691</v>
      </c>
      <c r="W1" s="37">
        <f t="shared" ref="W1:AP1" si="0">W2*$A$14</f>
        <v>139.82219560746478</v>
      </c>
      <c r="X1" s="37">
        <f t="shared" si="0"/>
        <v>0</v>
      </c>
      <c r="Y1" s="37">
        <f t="shared" si="0"/>
        <v>251.67895475262128</v>
      </c>
      <c r="Z1" s="37">
        <f t="shared" si="0"/>
        <v>349.54800896254693</v>
      </c>
      <c r="AA1" s="37">
        <f t="shared" si="0"/>
        <v>489.37519127408848</v>
      </c>
      <c r="AB1" s="37">
        <f t="shared" si="0"/>
        <v>0</v>
      </c>
      <c r="AC1" s="37">
        <f t="shared" si="0"/>
        <v>104.86540002957942</v>
      </c>
      <c r="AD1" s="37">
        <f t="shared" si="0"/>
        <v>0</v>
      </c>
      <c r="AE1" s="37">
        <f t="shared" si="0"/>
        <v>230.6998907018133</v>
      </c>
      <c r="AF1" s="37">
        <f t="shared" si="0"/>
        <v>321.57758579616183</v>
      </c>
      <c r="AG1" s="37">
        <f t="shared" si="0"/>
        <v>0</v>
      </c>
      <c r="AH1" s="37">
        <f t="shared" si="0"/>
        <v>0</v>
      </c>
      <c r="AI1" s="37">
        <f t="shared" si="0"/>
        <v>94.373374652137059</v>
      </c>
      <c r="AJ1" s="37">
        <f t="shared" si="0"/>
        <v>0</v>
      </c>
      <c r="AK1" s="37">
        <f t="shared" si="0"/>
        <v>202.734454239505</v>
      </c>
      <c r="AL1" s="37">
        <f t="shared" si="0"/>
        <v>265.6566862796987</v>
      </c>
      <c r="AM1" s="37">
        <f t="shared" si="0"/>
        <v>0</v>
      </c>
      <c r="AN1" s="37">
        <f t="shared" si="0"/>
        <v>1.236702611029326</v>
      </c>
      <c r="AO1" s="37">
        <f t="shared" si="0"/>
        <v>55.796231914544869</v>
      </c>
      <c r="AP1" s="37">
        <f t="shared" si="0"/>
        <v>1.2965430599500998</v>
      </c>
    </row>
    <row r="2" spans="1:42" x14ac:dyDescent="0.25">
      <c r="A2">
        <v>1982</v>
      </c>
      <c r="B2" s="37">
        <v>2057.1799999999998</v>
      </c>
      <c r="C2" s="31">
        <v>1646.04</v>
      </c>
      <c r="D2" s="31">
        <v>1234.1600000000001</v>
      </c>
      <c r="E2">
        <v>986.51</v>
      </c>
      <c r="F2" s="37">
        <f t="shared" ref="F2:J2" si="1">F1+F1*$A$5</f>
        <v>877.10705670590517</v>
      </c>
      <c r="G2" s="37">
        <f t="shared" si="1"/>
        <v>701.87741515028426</v>
      </c>
      <c r="H2" s="37">
        <f t="shared" si="1"/>
        <v>613.18388932869777</v>
      </c>
      <c r="I2" s="37">
        <f t="shared" si="1"/>
        <v>525.68892466686248</v>
      </c>
      <c r="J2" s="37">
        <f t="shared" si="1"/>
        <v>437.95424777307699</v>
      </c>
      <c r="K2" s="37">
        <f t="shared" ref="K2:U2" si="2">K1+K1*$A$5</f>
        <v>0</v>
      </c>
      <c r="L2" s="37">
        <f t="shared" si="2"/>
        <v>349.2607219514905</v>
      </c>
      <c r="M2" s="37">
        <f t="shared" si="2"/>
        <v>298.2020165460907</v>
      </c>
      <c r="N2" s="37">
        <f t="shared" si="2"/>
        <v>0</v>
      </c>
      <c r="O2" s="37">
        <f t="shared" si="2"/>
        <v>0</v>
      </c>
      <c r="P2" s="37">
        <f t="shared" si="2"/>
        <v>0</v>
      </c>
      <c r="Q2" s="37">
        <f t="shared" si="2"/>
        <v>0</v>
      </c>
      <c r="R2" s="37">
        <f t="shared" si="2"/>
        <v>0</v>
      </c>
      <c r="S2" s="37">
        <f t="shared" si="2"/>
        <v>0</v>
      </c>
      <c r="T2" s="37">
        <f t="shared" si="2"/>
        <v>0</v>
      </c>
      <c r="U2" s="37">
        <f t="shared" si="2"/>
        <v>0</v>
      </c>
      <c r="V2" s="37">
        <f>V3*$A$11</f>
        <v>950.73560804076317</v>
      </c>
      <c r="W2" s="37">
        <f t="shared" ref="W2:AP2" si="3">W3*$A$11</f>
        <v>2112.6704480785352</v>
      </c>
      <c r="X2" s="37">
        <f t="shared" si="3"/>
        <v>0</v>
      </c>
      <c r="Y2" s="37">
        <f t="shared" si="3"/>
        <v>3802.7917370278424</v>
      </c>
      <c r="Z2" s="37">
        <f t="shared" si="3"/>
        <v>5281.5630988449311</v>
      </c>
      <c r="AA2" s="37">
        <f t="shared" si="3"/>
        <v>7394.3088944910714</v>
      </c>
      <c r="AB2" s="37">
        <f t="shared" si="3"/>
        <v>0</v>
      </c>
      <c r="AC2" s="37">
        <f t="shared" si="3"/>
        <v>1584.4839991670003</v>
      </c>
      <c r="AD2" s="37">
        <f t="shared" si="3"/>
        <v>0</v>
      </c>
      <c r="AE2" s="37">
        <f t="shared" si="3"/>
        <v>3485.8045201133159</v>
      </c>
      <c r="AF2" s="37">
        <f t="shared" si="3"/>
        <v>4858.9385921480971</v>
      </c>
      <c r="AG2" s="37">
        <f t="shared" si="3"/>
        <v>0</v>
      </c>
      <c r="AH2" s="37">
        <f t="shared" si="3"/>
        <v>0</v>
      </c>
      <c r="AI2" s="37">
        <f t="shared" si="3"/>
        <v>1425.9527169259345</v>
      </c>
      <c r="AJ2" s="37">
        <f t="shared" si="3"/>
        <v>0</v>
      </c>
      <c r="AK2" s="37">
        <f t="shared" si="3"/>
        <v>3063.2553609840879</v>
      </c>
      <c r="AL2" s="37">
        <f t="shared" si="3"/>
        <v>4013.9909690248514</v>
      </c>
      <c r="AM2" s="37">
        <f t="shared" si="3"/>
        <v>0</v>
      </c>
      <c r="AN2" s="37">
        <f t="shared" si="3"/>
        <v>18.686196766057162</v>
      </c>
      <c r="AO2" s="37">
        <f t="shared" si="3"/>
        <v>843.0639339331193</v>
      </c>
      <c r="AP2" s="37">
        <f t="shared" si="3"/>
        <v>19.590367577317991</v>
      </c>
    </row>
    <row r="3" spans="1:42" x14ac:dyDescent="0.25">
      <c r="A3">
        <v>1983</v>
      </c>
      <c r="B3" s="37">
        <v>8855.34</v>
      </c>
      <c r="C3" s="31">
        <v>7085.03</v>
      </c>
      <c r="D3" s="31">
        <v>5312.2</v>
      </c>
      <c r="E3" s="37">
        <v>4246.62</v>
      </c>
      <c r="F3" s="37">
        <v>3540.94</v>
      </c>
      <c r="G3" s="37">
        <v>2833.7</v>
      </c>
      <c r="H3" s="37">
        <v>2475.36</v>
      </c>
      <c r="I3" s="37">
        <v>2122.0500000000002</v>
      </c>
      <c r="J3" s="37">
        <v>1768.43</v>
      </c>
      <c r="K3" s="37">
        <v>0</v>
      </c>
      <c r="L3" s="37">
        <v>1684.9016954520282</v>
      </c>
      <c r="M3" s="37">
        <f>M2+M2*A8</f>
        <v>1581.8039284229085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4092.413781176841</v>
      </c>
      <c r="W3" s="37">
        <v>9093.928515645699</v>
      </c>
      <c r="X3" s="37">
        <v>0</v>
      </c>
      <c r="Y3" s="37">
        <v>16369.006461879471</v>
      </c>
      <c r="Z3" s="37">
        <v>22734.334791993333</v>
      </c>
      <c r="AA3" s="37">
        <v>31828.587639052981</v>
      </c>
      <c r="AB3" s="37">
        <v>0</v>
      </c>
      <c r="AC3" s="37">
        <v>6820.3653038807888</v>
      </c>
      <c r="AD3" s="37">
        <v>0</v>
      </c>
      <c r="AE3" s="37">
        <v>15004.544203406576</v>
      </c>
      <c r="AF3" s="37">
        <v>20915.159891167455</v>
      </c>
      <c r="AG3" s="37">
        <v>0</v>
      </c>
      <c r="AH3" s="37">
        <v>0</v>
      </c>
      <c r="AI3" s="37">
        <v>6137.9720089373686</v>
      </c>
      <c r="AJ3" s="37">
        <v>0</v>
      </c>
      <c r="AK3" s="37">
        <v>13185.693633994648</v>
      </c>
      <c r="AL3" s="37">
        <v>17278.107415171489</v>
      </c>
      <c r="AM3" s="37">
        <v>0</v>
      </c>
      <c r="AN3">
        <v>80.434190658730117</v>
      </c>
      <c r="AO3">
        <v>3628.9441906473035</v>
      </c>
      <c r="AP3">
        <v>84.326167626088022</v>
      </c>
    </row>
    <row r="4" spans="1:42" x14ac:dyDescent="0.25">
      <c r="A4" t="s">
        <v>89</v>
      </c>
      <c r="B4" s="32">
        <f>B2/B1</f>
        <v>15.109436512133499</v>
      </c>
      <c r="C4" s="32">
        <f t="shared" ref="C4:E4" si="4">C2/C1</f>
        <v>15.110089843182008</v>
      </c>
      <c r="D4" s="32">
        <f t="shared" si="4"/>
        <v>15.110377157051152</v>
      </c>
      <c r="E4" s="32">
        <f t="shared" si="4"/>
        <v>15.108868517266052</v>
      </c>
      <c r="F4" s="32"/>
      <c r="G4" s="32"/>
      <c r="H4" s="32"/>
      <c r="I4" s="32"/>
      <c r="J4" s="32"/>
    </row>
    <row r="5" spans="1:42" x14ac:dyDescent="0.25">
      <c r="A5" s="33">
        <f>AVERAGE(B4:E4)</f>
        <v>15.109693007408179</v>
      </c>
      <c r="L5" s="38"/>
      <c r="M5" s="38"/>
    </row>
    <row r="7" spans="1:42" x14ac:dyDescent="0.25">
      <c r="B7" s="32">
        <f>B3/B2</f>
        <v>4.3046014446961376</v>
      </c>
      <c r="C7" s="32">
        <f t="shared" ref="C7:E7" si="5">C3/C2</f>
        <v>4.3042878666375053</v>
      </c>
      <c r="D7" s="32">
        <f t="shared" si="5"/>
        <v>4.3043041420885455</v>
      </c>
      <c r="E7" s="32">
        <f t="shared" si="5"/>
        <v>4.3046902717661251</v>
      </c>
    </row>
    <row r="8" spans="1:42" x14ac:dyDescent="0.25">
      <c r="A8" s="33">
        <f>AVERAGE(B7:E7)</f>
        <v>4.3044709312970788</v>
      </c>
    </row>
    <row r="10" spans="1:42" x14ac:dyDescent="0.25">
      <c r="B10" s="32">
        <f>B2/B3</f>
        <v>0.23230954429756506</v>
      </c>
      <c r="C10" s="32">
        <f t="shared" ref="C10:E10" si="6">C2/C3</f>
        <v>0.23232646862469178</v>
      </c>
      <c r="D10" s="32">
        <f t="shared" si="6"/>
        <v>0.23232559015097326</v>
      </c>
      <c r="E10" s="32">
        <f t="shared" si="6"/>
        <v>0.23230475060165498</v>
      </c>
    </row>
    <row r="11" spans="1:42" x14ac:dyDescent="0.25">
      <c r="A11" s="33">
        <f>AVERAGE(B10:E10)</f>
        <v>0.2323165884187213</v>
      </c>
    </row>
    <row r="13" spans="1:42" x14ac:dyDescent="0.25">
      <c r="B13" s="32">
        <f>B1/B2</f>
        <v>6.6183805014631683E-2</v>
      </c>
      <c r="C13" s="32">
        <f t="shared" ref="C13:E13" si="7">C1/C2</f>
        <v>6.6180943354960997E-2</v>
      </c>
      <c r="D13" s="32">
        <f t="shared" si="7"/>
        <v>6.6179684967913391E-2</v>
      </c>
      <c r="E13" s="32">
        <f t="shared" si="7"/>
        <v>6.6186293093835849E-2</v>
      </c>
    </row>
    <row r="14" spans="1:42" x14ac:dyDescent="0.25">
      <c r="A14" s="33">
        <f>AVERAGE(B13:E13)</f>
        <v>6.618268160783547E-2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ValoresVenais</vt:lpstr>
      <vt:lpstr>Pontuação</vt:lpstr>
      <vt:lpstr>Cargos</vt:lpstr>
      <vt:lpstr>Site</vt:lpstr>
      <vt:lpstr>Cálculo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Jhonatan Cassante de Brito</dc:creator>
  <cp:keywords/>
  <dc:description/>
  <cp:lastModifiedBy>Jhonatan Cassante de Brito</cp:lastModifiedBy>
  <cp:revision/>
  <cp:lastPrinted>2017-10-31T12:33:51Z</cp:lastPrinted>
  <dcterms:created xsi:type="dcterms:W3CDTF">2006-09-16T00:00:00Z</dcterms:created>
  <dcterms:modified xsi:type="dcterms:W3CDTF">2026-06-11T12:09:59Z</dcterms:modified>
</cp:coreProperties>
</file>